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xr:revisionPtr revIDLastSave="0" documentId="8_{824876CD-A331-4538-8686-C25C8E2EFA76}" xr6:coauthVersionLast="47" xr6:coauthVersionMax="47" xr10:uidLastSave="{00000000-0000-0000-0000-000000000000}"/>
  <bookViews>
    <workbookView xWindow="0" yWindow="0" windowWidth="16384" windowHeight="8192" tabRatio="500" firstSheet="5" activeTab="5" xr2:uid="{00000000-000D-0000-FFFF-FFFF00000000}"/>
  </bookViews>
  <sheets>
    <sheet name="Cover &amp; Sources" sheetId="1" r:id="rId1"/>
    <sheet name="WACC" sheetId="2" r:id="rId2"/>
    <sheet name="DCF Valuation" sheetId="3" r:id="rId3"/>
    <sheet name="Trading Comps" sheetId="4" r:id="rId4"/>
    <sheet name="Sensitivity Analysis" sheetId="5" r:id="rId5"/>
    <sheet name="Valuation Summary" sheetId="6" r:id="rId6"/>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3" l="1"/>
  <c r="C14" i="6"/>
  <c r="C35" i="4"/>
  <c r="C33" i="4"/>
  <c r="C27" i="4"/>
  <c r="E14" i="4"/>
  <c r="E20" i="4" s="1"/>
  <c r="D14" i="4"/>
  <c r="E13" i="4"/>
  <c r="D13" i="4"/>
  <c r="C42" i="3"/>
  <c r="C39" i="3"/>
  <c r="G11" i="3"/>
  <c r="G17" i="3" s="1"/>
  <c r="F10" i="3"/>
  <c r="F11" i="3" s="1"/>
  <c r="F17" i="3" s="1"/>
  <c r="E10" i="3"/>
  <c r="E11" i="3" s="1"/>
  <c r="E17" i="3" s="1"/>
  <c r="D10" i="3"/>
  <c r="D11" i="3" s="1"/>
  <c r="D17" i="3" s="1"/>
  <c r="C10" i="3"/>
  <c r="C11" i="3" s="1"/>
  <c r="C17" i="3" s="1"/>
  <c r="C22" i="2"/>
  <c r="C16" i="2"/>
  <c r="C10" i="2"/>
  <c r="C24" i="2" l="1"/>
  <c r="C26" i="4"/>
  <c r="C29" i="4" s="1"/>
  <c r="C10" i="6" s="1"/>
  <c r="D19" i="4"/>
  <c r="C26" i="2" l="1"/>
  <c r="C25" i="2"/>
  <c r="C28" i="2" s="1"/>
  <c r="G20" i="3" l="1"/>
  <c r="G21" i="3" s="1"/>
  <c r="F20" i="3"/>
  <c r="F21" i="3" s="1"/>
  <c r="E20" i="3"/>
  <c r="E21" i="3" s="1"/>
  <c r="D20" i="3"/>
  <c r="D21" i="3" s="1"/>
  <c r="C20" i="3"/>
  <c r="C21" i="3" s="1"/>
  <c r="C33" i="3" s="1"/>
  <c r="C27" i="3"/>
  <c r="C28" i="3" s="1"/>
  <c r="C34" i="3" s="1"/>
  <c r="C35" i="3" l="1"/>
  <c r="C38" i="3" s="1"/>
  <c r="C41" i="3" s="1"/>
  <c r="C43" i="3" s="1"/>
  <c r="G25" i="5"/>
  <c r="F25" i="5"/>
  <c r="E25" i="5"/>
  <c r="D25" i="5"/>
  <c r="C25" i="5"/>
  <c r="G24" i="5"/>
  <c r="F24" i="5"/>
  <c r="E24" i="5"/>
  <c r="D24" i="5"/>
  <c r="C24" i="5"/>
  <c r="G23" i="5"/>
  <c r="F23" i="5"/>
  <c r="E23" i="5"/>
  <c r="D23" i="5"/>
  <c r="C23" i="5"/>
  <c r="G22" i="5"/>
  <c r="F22" i="5"/>
  <c r="E22" i="5"/>
  <c r="D22" i="5"/>
  <c r="C22" i="5"/>
  <c r="G21" i="5"/>
  <c r="F21" i="5"/>
  <c r="E21" i="5"/>
  <c r="D21" i="5"/>
  <c r="C21" i="5"/>
  <c r="G20" i="5"/>
  <c r="F20" i="5"/>
  <c r="E20" i="5"/>
  <c r="D20" i="5"/>
  <c r="C20" i="5"/>
  <c r="G14" i="5"/>
  <c r="F14" i="5"/>
  <c r="E14" i="5"/>
  <c r="D14" i="5"/>
  <c r="C14" i="5"/>
  <c r="G13" i="5"/>
  <c r="F13" i="5"/>
  <c r="E13" i="5"/>
  <c r="D13" i="5"/>
  <c r="C13" i="5"/>
  <c r="G12" i="5"/>
  <c r="F12" i="5"/>
  <c r="E12" i="5"/>
  <c r="D12" i="5"/>
  <c r="C12" i="5"/>
  <c r="C7" i="6"/>
  <c r="G11" i="5"/>
  <c r="F11" i="5"/>
  <c r="E11" i="5"/>
  <c r="C8" i="6"/>
  <c r="C22" i="6"/>
  <c r="C23" i="6"/>
  <c r="C27" i="6"/>
  <c r="D11" i="5"/>
  <c r="C11" i="5"/>
  <c r="G10" i="5"/>
  <c r="C9" i="6"/>
  <c r="F10" i="5"/>
  <c r="E10" i="5"/>
  <c r="D10" i="5"/>
  <c r="C10" i="5"/>
  <c r="G9" i="5"/>
  <c r="F9" i="5"/>
  <c r="E9" i="5"/>
  <c r="D9" i="5"/>
  <c r="C9" i="5"/>
</calcChain>
</file>

<file path=xl/sharedStrings.xml><?xml version="1.0" encoding="utf-8"?>
<sst xmlns="http://schemas.openxmlformats.org/spreadsheetml/2006/main" count="163" uniqueCount="160">
  <si>
    <t>Eli Lilly and Company (NYSE: LLY)</t>
  </si>
  <si>
    <t>Equity Research &amp; Valuation Model</t>
  </si>
  <si>
    <t>Self-directed portfolio project | Valuation date: Aug 18, 2026</t>
  </si>
  <si>
    <t>RELATIONSHIP TO PROJECT 1</t>
  </si>
  <si>
    <t>This valuation model builds on the historical financials and five-year operating forecast developed in the companion FP&amp;A project for the same company. Historical results (FY2021A–FY2025A) and forecast operating assumptions for FY2026E–FY2030E including revenue, EBIT, D&amp;A, CapEx and working capital are carried forward as core inputs. This workbook adds the valuation framework, incorporating WACC, DCF valuation, trading comparables, sensitivity analysis and Bull/Base/Bear investment scenarios.</t>
  </si>
  <si>
    <t xml:space="preserve">NEW MARKET DATA SOURCES </t>
  </si>
  <si>
    <t>LLY share price, shares outstanding, beta, trading multiples</t>
  </si>
  <si>
    <t xml:space="preserve">stockanalysis.com/stocks/lly/statistics </t>
  </si>
  <si>
    <t>LLY 52-week range, analyst consensus target price</t>
  </si>
  <si>
    <t>investing.com/equities/eli-lilly-and-co</t>
  </si>
  <si>
    <t>Lilly 3.95% 2049 bond yield-to-maturity (cost of debt proxy)</t>
  </si>
  <si>
    <t xml:space="preserve">tradingview.com/symbols/NYSE-LLY </t>
  </si>
  <si>
    <t>10-Year US Treasury yield (risk-free rate)</t>
  </si>
  <si>
    <t>tradingeconomics.com/united-states/government-bond-yield</t>
  </si>
  <si>
    <t>Novo Nordisk (NVO) valuation multiples</t>
  </si>
  <si>
    <t>finance.yahoo.com/quote/NVO</t>
  </si>
  <si>
    <t>Pfizer (PFE) valuation multiples</t>
  </si>
  <si>
    <t>stockanalysis.com/stocks/pfe/statistics</t>
  </si>
  <si>
    <t>Merck (MRK) valuation multiples</t>
  </si>
  <si>
    <t>stockanalysis.com/stocks/mrk/statistics</t>
  </si>
  <si>
    <t>AbbVie (ABBV) valuation multiples</t>
  </si>
  <si>
    <t>multiples.vc/public-comps/abbvie-valuation-multiples</t>
  </si>
  <si>
    <t>IMPORTANT DATA QUALITY NOTES</t>
  </si>
  <si>
    <t>Merck’s trailing P/E of 102.0x is a significant outlier, likely reflecting the impact of a one-time charge. Accordingly, the 15.1x forward P/E is used in the comparable-company analysis to improve peer comparability.</t>
  </si>
  <si>
    <t>Merck’s EV/EBITDA of 28.7x is also elevated relative to peers. Rather than excluding the multiple, it is retained in the comps analysis and explicitly flagged as an outlier.</t>
  </si>
  <si>
    <t>LLY’s reported beta of 0.51 appears unusually low relative to the stock’s historical volatility. The figure is retained as sourced but stress-tested through the DCF sensitivity analysis given its direct impact on the cost of equity and resulting discount rate.</t>
  </si>
  <si>
    <t>TAB GUIDE</t>
  </si>
  <si>
    <t>WACC - cost of equity (CAPM), cost of debt, capital structure weights</t>
  </si>
  <si>
    <t>DCF Valuation - unlevered FCF build, terminal value, implied share price</t>
  </si>
  <si>
    <t>Trading Comps - LLY vs. Novo Nordisk, Pfizer, Merck, AbbVie</t>
  </si>
  <si>
    <t>Sensitivity Analysis - WACC/growth and WACC/beta data tables</t>
  </si>
  <si>
    <t>Valuation Summary - football field, Bull/Base/Bear, BUY/HOLD/SELL</t>
  </si>
  <si>
    <t>Eli Lilly - Weighted Average Cost of Capital</t>
  </si>
  <si>
    <t>Black = source-linked inputs | Purple = formulas</t>
  </si>
  <si>
    <t>COST OF EQUITY (CAPM)</t>
  </si>
  <si>
    <t>Risk-Free Rate (10Y US Treasury)</t>
  </si>
  <si>
    <t>Levered Beta</t>
  </si>
  <si>
    <t>Equity Risk Premium</t>
  </si>
  <si>
    <t>Cost of Equity (Ke) = Rf + β × ERP</t>
  </si>
  <si>
    <t>COST OF DEBT</t>
  </si>
  <si>
    <t>Pre-Tax Cost of Debt</t>
  </si>
  <si>
    <t>Effective Tax Rate</t>
  </si>
  <si>
    <t>After-Tax Cost of Debt = Kd × (1 - tax)</t>
  </si>
  <si>
    <t xml:space="preserve">CAPITAL STRUCTURE </t>
  </si>
  <si>
    <t>Current Share Price</t>
  </si>
  <si>
    <t>Diluted Shares Outstanding (M)</t>
  </si>
  <si>
    <t>Market Value of Equity ($M)</t>
  </si>
  <si>
    <t>Total Debt ($M)</t>
  </si>
  <si>
    <t>Total Capital ($M)</t>
  </si>
  <si>
    <t>Weight of Equity (E/V)</t>
  </si>
  <si>
    <t>Weight of Debt (D/V)</t>
  </si>
  <si>
    <t>WACC</t>
  </si>
  <si>
    <r>
      <rPr>
        <b/>
        <sz val="11"/>
        <color rgb="FF000000"/>
        <rFont val="Calibri"/>
        <scheme val="minor"/>
      </rPr>
      <t>Note</t>
    </r>
    <r>
      <rPr>
        <sz val="11"/>
        <color rgb="FF000000"/>
        <rFont val="Calibri"/>
        <scheme val="minor"/>
      </rPr>
      <t>: LLY’s low reported beta and limited financial leverage result in a WACC below the 8–10% range commonly observed for large-cap pharmaceutical companies. This assumption is therefore flagged and tested across the DCF sensitivity analysis.</t>
    </r>
  </si>
  <si>
    <t>Eli Lilly - Discounted Cash Flow Valuation</t>
  </si>
  <si>
    <t>$ in millions except per-share | Valuation date treated as start of FY2026E (see simplification note)</t>
  </si>
  <si>
    <t>Unlevered FCF inputs (EBIT, D&amp;A, capex, NWC change) carried from Project 1's Forecast tabs</t>
  </si>
  <si>
    <t>Item</t>
  </si>
  <si>
    <t>FY2026E</t>
  </si>
  <si>
    <t>FY2027E</t>
  </si>
  <si>
    <t>FY2028E</t>
  </si>
  <si>
    <t>FY2029E</t>
  </si>
  <si>
    <t>FY2030E</t>
  </si>
  <si>
    <t>EBIT (Operating Income)</t>
  </si>
  <si>
    <t>Less: Taxes on EBIT</t>
  </si>
  <si>
    <t>EBIT after tax</t>
  </si>
  <si>
    <t>Add: D&amp;A</t>
  </si>
  <si>
    <t>Less: Capital Expenditures</t>
  </si>
  <si>
    <t>Add/Less: Change in Net Working Capital</t>
  </si>
  <si>
    <t>Unlevered Free Cash Flow</t>
  </si>
  <si>
    <t>Discount Period (t)</t>
  </si>
  <si>
    <t>Discount Factor = 1/(1+WACC)^t</t>
  </si>
  <si>
    <t>PV of Unlevered FCF</t>
  </si>
  <si>
    <t>TERMINAL VALUE (Gordon Growth Method)</t>
  </si>
  <si>
    <t>Perpetual Growth Rate (g)</t>
  </si>
  <si>
    <t>(Terminal growth rate aligned with long-term nominal GDP growth and inflation expectations.)</t>
  </si>
  <si>
    <t>Terminal Value = UFCF(2030) × (1+g) / (WACC-g)</t>
  </si>
  <si>
    <t>PV of Terminal Value</t>
  </si>
  <si>
    <t>EV-TO-EQUITY VALUE RECONCILIATION</t>
  </si>
  <si>
    <t>Sum of PV of Explicit FCF (FY26E-30E)</t>
  </si>
  <si>
    <t>+ PV of Terminal Value</t>
  </si>
  <si>
    <t>Enterprise Value</t>
  </si>
  <si>
    <t>- Total Debt (FY2025A)</t>
  </si>
  <si>
    <t>+ Cash &amp; ST Investments (FY2025A)</t>
  </si>
  <si>
    <t>Equity Value</t>
  </si>
  <si>
    <t>IMPLIED SHARE PRICE (DCF)</t>
  </si>
  <si>
    <t>Implied Upside / (Downside)</t>
  </si>
  <si>
    <r>
      <rPr>
        <b/>
        <sz val="11"/>
        <color rgb="FF000000"/>
        <rFont val="Calibri"/>
      </rPr>
      <t>Simplification Note:</t>
    </r>
    <r>
      <rPr>
        <sz val="11"/>
        <color rgb="FF000000"/>
        <rFont val="Calibri"/>
      </rPr>
      <t> FY2026E is modeled as a full future year without adjusting for the 4.5 months already elapsed. For greater precision, FY2026E could be stub-discounted with a mid-year convention applied thereafter.</t>
    </r>
  </si>
  <si>
    <t>Eli Lilly - Trading Comparables</t>
  </si>
  <si>
    <t>Large-cap pharma peer set | P/E and EV/EBITDA, Aug 2026</t>
  </si>
  <si>
    <t>Sources: stockanalysis.com, Yahoo Finance (see Cover &amp; Sources)</t>
  </si>
  <si>
    <t>Company</t>
  </si>
  <si>
    <t>Ticker</t>
  </si>
  <si>
    <t>P/E (fwd or trailing)</t>
  </si>
  <si>
    <t>EV/EBITDA</t>
  </si>
  <si>
    <t>Notes</t>
  </si>
  <si>
    <t>Eli Lilly</t>
  </si>
  <si>
    <t>LLY</t>
  </si>
  <si>
    <r>
      <rPr>
        <sz val="11"/>
        <color rgb="FF000000"/>
        <rFont val="Calibri"/>
        <scheme val="minor"/>
      </rPr>
      <t>Forward P/E is presented alongside the trailing P/E of </t>
    </r>
    <r>
      <rPr>
        <b/>
        <sz val="11"/>
        <color rgb="FF000000"/>
        <rFont val="Calibri"/>
        <scheme val="minor"/>
      </rPr>
      <t>41.0x</t>
    </r>
    <r>
      <rPr>
        <sz val="11"/>
        <color rgb="FF000000"/>
        <rFont val="Calibri"/>
        <scheme val="minor"/>
      </rPr>
      <t>.</t>
    </r>
  </si>
  <si>
    <t>Novo Nordisk</t>
  </si>
  <si>
    <t>NVO</t>
  </si>
  <si>
    <t>Direct GLP-1 competitor</t>
  </si>
  <si>
    <t>Pfizer</t>
  </si>
  <si>
    <t>PFE</t>
  </si>
  <si>
    <r>
      <t>Forward P/E of </t>
    </r>
    <r>
      <rPr>
        <b/>
        <sz val="11"/>
        <color rgb="FF000000"/>
        <rFont val="Calibri"/>
        <scheme val="minor"/>
      </rPr>
      <t>8.55x</t>
    </r>
    <r>
      <rPr>
        <sz val="11"/>
        <color rgb="FF000000"/>
        <rFont val="Calibri"/>
        <scheme val="minor"/>
      </rPr>
      <t> reflects the impact of one time items.</t>
    </r>
  </si>
  <si>
    <t>Merck</t>
  </si>
  <si>
    <t>MRK</t>
  </si>
  <si>
    <r>
      <t>Forward P/E is used, as trailing P/E of </t>
    </r>
    <r>
      <rPr>
        <b/>
        <sz val="11"/>
        <color rgb="FF000000"/>
        <rFont val="Calibri"/>
        <scheme val="minor"/>
      </rPr>
      <t>102x</t>
    </r>
    <r>
      <rPr>
        <sz val="11"/>
        <color rgb="FF000000"/>
        <rFont val="Calibri"/>
        <scheme val="minor"/>
      </rPr>
      <t> is distorted by a one time charge and EV/EBITDA is elevated versus peers.</t>
    </r>
  </si>
  <si>
    <t>AbbVie</t>
  </si>
  <si>
    <t>ABBV</t>
  </si>
  <si>
    <t>Peer Average (excluding LLY)</t>
  </si>
  <si>
    <t>Peer Median (excluding LLY)</t>
  </si>
  <si>
    <t>LLY PREMIUM TO PEER GROUP</t>
  </si>
  <si>
    <t>LLY P/E vs. Peer Median</t>
  </si>
  <si>
    <t>LLY EV/EBITDA vs. Peer Median</t>
  </si>
  <si>
    <t>IMPLIED VALUATION FROM COMPS (applying peer median multiple to LLY)</t>
  </si>
  <si>
    <t>FY2026E Net Income ($M)</t>
  </si>
  <si>
    <t>Implied Equity Value = Peer Median P/E × FY26E NI</t>
  </si>
  <si>
    <t>Diluted Shares (M)</t>
  </si>
  <si>
    <t>IMPLIED SHARE PRICE (COMPS)</t>
  </si>
  <si>
    <t>PEG VALUATION CROSS-CHECK</t>
  </si>
  <si>
    <t>LLY Forward P/E</t>
  </si>
  <si>
    <t>LLY FY26E-27E EPS Growth (from Project 1 forecast)</t>
  </si>
  <si>
    <t>{(39.71/32.35)-1 from Project 1 Forecast Income Statement}</t>
  </si>
  <si>
    <t>Implied PEG Ratio (P/E ÷ growth%)</t>
  </si>
  <si>
    <r>
      <rPr>
        <b/>
        <sz val="11"/>
        <color rgb="FF595959"/>
        <rFont val="Calibri"/>
        <scheme val="minor"/>
      </rPr>
      <t>Interpretation</t>
    </r>
    <r>
      <rPr>
        <sz val="11"/>
        <color rgb="FF595959"/>
        <rFont val="Calibri"/>
        <scheme val="minor"/>
      </rPr>
      <t>: a PEG near or below 1.5x suggests LLY's premium P/E is largely justified by its growth rate.</t>
    </r>
  </si>
  <si>
    <t>Eli Lilly - DCF Sensitivity Analysis</t>
  </si>
  <si>
    <t>Implied Share Price Sensitivity to WACC, Growth, and Beta Assumptions</t>
  </si>
  <si>
    <t>Note: Sensitivity values are manually calculated, with each cell representing an independent DCF recomputation rather than a live Excel Data Table.</t>
  </si>
  <si>
    <t>Table 1: Implied Share Price - WACC (rows) x Perpetual Growth Rate (columns)</t>
  </si>
  <si>
    <t>WACC \ g</t>
  </si>
  <si>
    <t>Table 2: Implied Share Price - Beta (rows) x Equity Risk Premium (columns)</t>
  </si>
  <si>
    <t>Beta \ ERP</t>
  </si>
  <si>
    <t>Highlighted cells = base-case assumptions (WACC=7.14%, g=3.0%, beta=0.51, ERP=5.0%)</t>
  </si>
  <si>
    <r>
      <rPr>
        <b/>
        <sz val="11"/>
        <color rgb="FF000000"/>
        <rFont val="Calibri"/>
        <scheme val="minor"/>
      </rPr>
      <t>Key takeaway:</t>
    </r>
    <r>
      <rPr>
        <sz val="11"/>
        <color rgb="FF000000"/>
        <rFont val="Calibri"/>
        <scheme val="minor"/>
      </rPr>
      <t> The DCF valuation is particularly sensitive to LLY’s beta assumption. Raising beta toward a more conservative </t>
    </r>
    <r>
      <rPr>
        <b/>
        <sz val="11"/>
        <color rgb="FF000000"/>
        <rFont val="Calibri"/>
        <scheme val="minor"/>
      </rPr>
      <t>0.65-0.80</t>
    </r>
    <r>
      <rPr>
        <sz val="11"/>
        <color rgb="FF000000"/>
        <rFont val="Calibri"/>
        <scheme val="minor"/>
      </rPr>
      <t xml:space="preserve"> peer range increases the cost of equity and meaningfully lowers the implied share price.</t>
    </r>
  </si>
  <si>
    <t>Eli Lilly - Valuation Summary &amp; Investment Recommendation</t>
  </si>
  <si>
    <t>DCF as the primary valuation approach, supported by trading comps as a cross-check</t>
  </si>
  <si>
    <t>FOOTBALL FIELD INPUTS</t>
  </si>
  <si>
    <t>Method / Case</t>
  </si>
  <si>
    <t>Implied Price</t>
  </si>
  <si>
    <t>DCF - Bear Case (WACC= 8.14%, g= 2.0%)</t>
  </si>
  <si>
    <t>DCF - Base Case (WACC= 7.14%, g= 3.0%)</t>
  </si>
  <si>
    <t>DCF - Bull Case (WACC= 6.14%, g= 4.0%)</t>
  </si>
  <si>
    <t>Trading Comps (peer median P/E x FY26E EPS)</t>
  </si>
  <si>
    <t>52-Week Low</t>
  </si>
  <si>
    <t>52-Week High</t>
  </si>
  <si>
    <t>Street Consensus Target (avg. of 20-23 analysts)</t>
  </si>
  <si>
    <t>BLENDED TARGET PRICE</t>
  </si>
  <si>
    <t>DCF Weight</t>
  </si>
  <si>
    <t>DCF weighted more heavily to capture LLY’s unique growth trajectory.</t>
  </si>
  <si>
    <t>Comps Weight</t>
  </si>
  <si>
    <t>Trading comps underweighted as raw P/E multiples can be misleading in LLY’s case (see note below)</t>
  </si>
  <si>
    <t>Analyst note: The peer median P/E of 16.8x reflects companies growing revenue at low-single-digit rates, while LLY is growing at 30%+. Applying the peer multiple without a growth adjustment would undervalue LLY. LLY’s 1.4x PEG remains reasonable when its higher growth profile is considered. Trading comps are therefore used only as a low-weight valuation cross-check</t>
  </si>
  <si>
    <t>BLENDED TARGET PRICE (Base Case)</t>
  </si>
  <si>
    <t>Implied Upside / (Downside) vs. Current Price</t>
  </si>
  <si>
    <t>INVESTMENT RECOMMENDATION</t>
  </si>
  <si>
    <t>Rating</t>
  </si>
  <si>
    <t>INVESTMENT THESIS</t>
  </si>
  <si>
    <r>
      <rPr>
        <b/>
        <sz val="10"/>
        <color rgb="FF000000"/>
        <rFont val="Calibri"/>
      </rPr>
      <t>Bull:</t>
    </r>
    <r>
      <rPr>
        <b/>
        <sz val="13.5"/>
        <color rgb="FF000000"/>
        <rFont val="Calibri"/>
      </rPr>
      <t> </t>
    </r>
    <r>
      <rPr>
        <sz val="10"/>
        <color rgb="FF000000"/>
        <rFont val="Calibri"/>
      </rPr>
      <t>LLY’s GLP-1 franchise</t>
    </r>
    <r>
      <rPr>
        <sz val="13.5"/>
        <color rgb="FF000000"/>
        <rFont val="Calibri"/>
      </rPr>
      <t xml:space="preserve"> </t>
    </r>
    <r>
      <rPr>
        <sz val="10"/>
        <color rgb="FF000000"/>
        <rFont val="Calibri"/>
      </rPr>
      <t>remains the primary growth engine representing 56% of FY25 revenue and continuing to expand. Foundayo broadens the opportunity into oral treatment, while two FY26 guidance increases signal strong execution and demand.</t>
    </r>
  </si>
  <si>
    <r>
      <rPr>
        <b/>
        <sz val="10"/>
        <color rgb="FF000000"/>
        <rFont val="Calibri"/>
        <scheme val="minor"/>
      </rPr>
      <t>Bear:</t>
    </r>
    <r>
      <rPr>
        <sz val="13.5"/>
        <color rgb="FF000000"/>
        <rFont val="-Webkit-Standard"/>
      </rPr>
      <t> </t>
    </r>
    <r>
      <rPr>
        <sz val="10"/>
        <color rgb="FF000000"/>
        <rFont val="Calibri"/>
        <scheme val="minor"/>
      </rPr>
      <t>LLY trades at a substantial premium to large-cap pharma peers with a 32–41x P/E vs a 15–19x peer median. This valuation already embeds significant future growth. The 0.51 beta may also understate risk from new GLP-1 competition, pricing/access pressures, and manufacturing execution.</t>
    </r>
  </si>
  <si>
    <r>
      <rPr>
        <b/>
        <sz val="10"/>
        <color rgb="FF000000"/>
        <rFont val="Calibri"/>
        <scheme val="minor"/>
      </rPr>
      <t>Net:</t>
    </r>
    <r>
      <rPr>
        <sz val="13.5"/>
        <color rgb="FF000000"/>
        <rFont val="Calibri"/>
        <scheme val="minor"/>
      </rPr>
      <t> </t>
    </r>
    <r>
      <rPr>
        <sz val="10"/>
        <color rgb="FF000000"/>
        <rFont val="Calibri"/>
      </rPr>
      <t>Both DCF and trading comps suggest LLY is broadly fairly valued under the base case. Meaningful upside depends primarily on sustained execution and continued premium valuation, making the bull case more compelling than the base case.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</si>
</sst>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
    <numFmt numFmtId="165" formatCode="\$#,##0.00;&quot;($&quot;#,##0.00\)"/>
    <numFmt numFmtId="166" formatCode="#,##0.0;\(#,##0.0\);\-"/>
    <numFmt numFmtId="167" formatCode="#,##0;\(#,##0\);\-"/>
    <numFmt numFmtId="168" formatCode="0.000"/>
    <numFmt numFmtId="169" formatCode="\+0.0%;\-0.0%"/>
    <numFmt numFmtId="170" formatCode="0.0\x"/>
  </numFmts>
  <fonts count="40">
    <font>
      <sz val="11"/>
      <color theme="1"/>
      <name val="Calibri"/>
      <family val="2"/>
      <charset val="1"/>
    </font>
    <font>
      <sz val="11"/>
      <color theme="1"/>
      <name val="Calibri"/>
      <scheme val="minor"/>
    </font>
    <font>
      <b/>
      <sz val="16"/>
      <color rgb="FF7030A0"/>
      <name val="Arial"/>
      <charset val="1"/>
    </font>
    <font>
      <i/>
      <sz val="10"/>
      <color rgb="FF595959"/>
      <name val="Arial"/>
      <charset val="1"/>
    </font>
    <font>
      <sz val="10"/>
      <color rgb="FF000000"/>
      <name val="Arial"/>
      <charset val="1"/>
    </font>
    <font>
      <b/>
      <sz val="10"/>
      <color rgb="FF000000"/>
      <name val="Arial"/>
      <charset val="1"/>
    </font>
    <font>
      <b/>
      <sz val="16"/>
      <color theme="4" tint="-0.249977111117893"/>
      <name val="Calibri"/>
      <scheme val="minor"/>
    </font>
    <font>
      <sz val="11"/>
      <color rgb="FF242424"/>
      <name val="Aptos Narrow"/>
      <charset val="1"/>
    </font>
    <font>
      <sz val="11"/>
      <color rgb="FF000000"/>
      <name val="Calibri"/>
      <family val="2"/>
      <charset val="1"/>
    </font>
    <font>
      <sz val="10"/>
      <color rgb="FF000000"/>
      <name val="Calibri"/>
      <scheme val="minor"/>
    </font>
    <font>
      <sz val="11"/>
      <color rgb="FF000000"/>
      <name val="Calibri"/>
      <scheme val="minor"/>
    </font>
    <font>
      <b/>
      <sz val="10"/>
      <color rgb="FF000000"/>
      <name val="Calibri"/>
      <scheme val="minor"/>
    </font>
    <font>
      <b/>
      <sz val="11"/>
      <color rgb="FF000000"/>
      <name val="Calibri"/>
      <scheme val="minor"/>
    </font>
    <font>
      <sz val="11"/>
      <color rgb="FF0563C1"/>
      <name val="Calibri"/>
      <scheme val="minor"/>
    </font>
    <font>
      <b/>
      <sz val="18"/>
      <color theme="4" tint="-0.249977111117893"/>
      <name val="Calibri"/>
      <scheme val="minor"/>
    </font>
    <font>
      <b/>
      <sz val="12"/>
      <color theme="4" tint="-0.249977111117893"/>
      <name val="Calibri"/>
      <scheme val="minor"/>
    </font>
    <font>
      <b/>
      <sz val="12"/>
      <color rgb="FF7030A0"/>
      <name val="Calibri"/>
      <scheme val="minor"/>
    </font>
    <font>
      <b/>
      <sz val="12"/>
      <color rgb="FF000000"/>
      <name val="Calibri"/>
      <scheme val="minor"/>
    </font>
    <font>
      <sz val="11"/>
      <color rgb="FF000000"/>
      <name val="Calibri"/>
    </font>
    <font>
      <sz val="11"/>
      <color theme="4" tint="-0.249977111117893"/>
      <name val="Calibri"/>
      <scheme val="minor"/>
    </font>
    <font>
      <b/>
      <u/>
      <sz val="13"/>
      <color rgb="FF000000"/>
      <name val="Calibri"/>
      <scheme val="minor"/>
    </font>
    <font>
      <b/>
      <sz val="11"/>
      <color theme="7"/>
      <name val="Calibri"/>
      <scheme val="minor"/>
    </font>
    <font>
      <b/>
      <sz val="10"/>
      <color theme="7"/>
      <name val="Calibri"/>
      <scheme val="minor"/>
    </font>
    <font>
      <b/>
      <sz val="11"/>
      <color rgb="FF000000"/>
      <name val="Calibri"/>
    </font>
    <font>
      <sz val="11"/>
      <color theme="4" tint="-0.249977111117893"/>
      <name val="Calibri"/>
      <family val="2"/>
      <charset val="1"/>
    </font>
    <font>
      <i/>
      <sz val="10"/>
      <color rgb="FF000000"/>
      <name val="Calibri"/>
      <scheme val="minor"/>
    </font>
    <font>
      <sz val="11"/>
      <color rgb="FF595959"/>
      <name val="Calibri"/>
      <scheme val="minor"/>
    </font>
    <font>
      <b/>
      <sz val="11"/>
      <color rgb="FF595959"/>
      <name val="Calibri"/>
      <scheme val="minor"/>
    </font>
    <font>
      <b/>
      <u/>
      <sz val="12"/>
      <color rgb="FF000000"/>
      <name val="Calibri"/>
      <scheme val="minor"/>
    </font>
    <font>
      <sz val="13.5"/>
      <color rgb="FF000000"/>
      <name val="Calibri"/>
      <scheme val="minor"/>
    </font>
    <font>
      <i/>
      <sz val="10"/>
      <color rgb="FF595959"/>
      <name val="Calibri"/>
      <scheme val="minor"/>
    </font>
    <font>
      <b/>
      <sz val="12"/>
      <color theme="7"/>
      <name val="Calibri"/>
      <scheme val="minor"/>
    </font>
    <font>
      <sz val="13.5"/>
      <color rgb="FF000000"/>
      <name val="-Webkit-Standard"/>
    </font>
    <font>
      <b/>
      <sz val="10"/>
      <color rgb="FF000000"/>
      <name val="Calibri"/>
    </font>
    <font>
      <sz val="13.5"/>
      <color rgb="FF000000"/>
      <name val="Calibri"/>
    </font>
    <font>
      <sz val="10"/>
      <color rgb="FF000000"/>
      <name val="Calibri"/>
    </font>
    <font>
      <b/>
      <sz val="13.5"/>
      <color rgb="FF000000"/>
      <name val="Calibri"/>
    </font>
    <font>
      <b/>
      <sz val="11"/>
      <color theme="1"/>
      <name val="Calibri"/>
      <scheme val="minor"/>
    </font>
    <font>
      <b/>
      <sz val="12"/>
      <color theme="4" tint="-0.249977111117893"/>
      <name val="Arial"/>
      <charset val="1"/>
    </font>
    <font>
      <b/>
      <sz val="14"/>
      <color theme="0"/>
      <name val="Calibri"/>
      <scheme val="minor"/>
    </font>
  </fonts>
  <fills count="5">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7" tint="0.39997558519241921"/>
        <bgColor indexed="64"/>
      </patternFill>
    </fill>
  </fills>
  <borders count="1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133">
    <xf numFmtId="0" fontId="0" fillId="0" borderId="0" xfId="0"/>
    <xf numFmtId="0" fontId="2" fillId="0" borderId="0" xfId="0" applyFont="1"/>
    <xf numFmtId="0" fontId="3" fillId="0" borderId="0" xfId="0" applyFont="1"/>
    <xf numFmtId="0" fontId="3" fillId="0" borderId="0" xfId="0" applyFont="1" applyAlignment="1">
      <alignment wrapText="1"/>
    </xf>
    <xf numFmtId="0" fontId="6" fillId="0" borderId="0" xfId="0" applyFont="1"/>
    <xf numFmtId="0" fontId="7" fillId="0" borderId="0" xfId="0" applyFont="1"/>
    <xf numFmtId="0" fontId="10" fillId="0" borderId="0" xfId="0" applyFont="1" applyAlignment="1">
      <alignment wrapText="1"/>
    </xf>
    <xf numFmtId="0" fontId="9" fillId="0" borderId="0" xfId="0" applyFont="1"/>
    <xf numFmtId="0" fontId="10" fillId="0" borderId="0" xfId="0" applyFont="1"/>
    <xf numFmtId="0" fontId="13" fillId="0" borderId="0" xfId="0" applyFont="1" applyAlignment="1">
      <alignment wrapText="1"/>
    </xf>
    <xf numFmtId="0" fontId="14" fillId="0" borderId="0" xfId="0" applyFont="1"/>
    <xf numFmtId="0" fontId="15" fillId="0" borderId="0" xfId="0" applyFont="1"/>
    <xf numFmtId="0" fontId="10" fillId="0" borderId="0" xfId="0" applyFont="1" applyAlignment="1">
      <alignment vertical="top" wrapText="1"/>
    </xf>
    <xf numFmtId="0" fontId="12" fillId="0" borderId="0" xfId="0" applyFont="1"/>
    <xf numFmtId="167" fontId="12" fillId="0" borderId="0" xfId="0" applyNumberFormat="1" applyFont="1"/>
    <xf numFmtId="0" fontId="0" fillId="0" borderId="4" xfId="0" applyBorder="1"/>
    <xf numFmtId="0" fontId="10" fillId="0" borderId="3" xfId="0" applyFont="1" applyBorder="1"/>
    <xf numFmtId="0" fontId="12" fillId="0" borderId="3" xfId="0" applyFont="1" applyBorder="1"/>
    <xf numFmtId="164" fontId="12" fillId="0" borderId="4" xfId="0" applyNumberFormat="1" applyFont="1" applyBorder="1"/>
    <xf numFmtId="167" fontId="12" fillId="0" borderId="4" xfId="0" applyNumberFormat="1" applyFont="1" applyBorder="1"/>
    <xf numFmtId="0" fontId="0" fillId="0" borderId="7" xfId="0" applyBorder="1"/>
    <xf numFmtId="0" fontId="10" fillId="0" borderId="7" xfId="0" applyFont="1" applyBorder="1"/>
    <xf numFmtId="0" fontId="12" fillId="0" borderId="7" xfId="0" applyFont="1" applyBorder="1"/>
    <xf numFmtId="0" fontId="0" fillId="2" borderId="2" xfId="0" applyFill="1" applyBorder="1"/>
    <xf numFmtId="0" fontId="17" fillId="2" borderId="1" xfId="0" applyFont="1" applyFill="1" applyBorder="1"/>
    <xf numFmtId="0" fontId="8" fillId="2" borderId="2" xfId="0" applyFont="1" applyFill="1" applyBorder="1"/>
    <xf numFmtId="0" fontId="12" fillId="2" borderId="1" xfId="0" applyFont="1" applyFill="1" applyBorder="1"/>
    <xf numFmtId="2" fontId="12" fillId="0" borderId="4" xfId="0" applyNumberFormat="1" applyFont="1" applyBorder="1"/>
    <xf numFmtId="165" fontId="12" fillId="0" borderId="4" xfId="0" applyNumberFormat="1" applyFont="1" applyBorder="1"/>
    <xf numFmtId="166" fontId="12" fillId="0" borderId="4" xfId="0" applyNumberFormat="1" applyFont="1" applyBorder="1"/>
    <xf numFmtId="164" fontId="20" fillId="2" borderId="2" xfId="0" applyNumberFormat="1" applyFont="1" applyFill="1" applyBorder="1"/>
    <xf numFmtId="164" fontId="21" fillId="0" borderId="4" xfId="0" applyNumberFormat="1" applyFont="1" applyBorder="1"/>
    <xf numFmtId="167" fontId="21" fillId="0" borderId="4" xfId="0" applyNumberFormat="1" applyFont="1" applyBorder="1"/>
    <xf numFmtId="0" fontId="12" fillId="2" borderId="1" xfId="0" applyFont="1" applyFill="1" applyBorder="1" applyAlignment="1">
      <alignment horizontal="center"/>
    </xf>
    <xf numFmtId="0" fontId="9" fillId="0" borderId="3" xfId="0" applyFont="1" applyBorder="1"/>
    <xf numFmtId="0" fontId="11" fillId="2" borderId="1" xfId="0" applyFont="1" applyFill="1" applyBorder="1"/>
    <xf numFmtId="0" fontId="12" fillId="2" borderId="10" xfId="0" applyFont="1" applyFill="1" applyBorder="1" applyAlignment="1">
      <alignment horizontal="center"/>
    </xf>
    <xf numFmtId="0" fontId="12" fillId="2" borderId="2" xfId="0" applyFont="1" applyFill="1" applyBorder="1" applyAlignment="1">
      <alignment horizontal="center"/>
    </xf>
    <xf numFmtId="167" fontId="11" fillId="0" borderId="3" xfId="0" applyNumberFormat="1" applyFont="1" applyBorder="1"/>
    <xf numFmtId="167" fontId="11" fillId="0" borderId="7" xfId="0" applyNumberFormat="1" applyFont="1" applyBorder="1"/>
    <xf numFmtId="167" fontId="11" fillId="0" borderId="4" xfId="0" applyNumberFormat="1" applyFont="1" applyBorder="1"/>
    <xf numFmtId="167" fontId="22" fillId="0" borderId="3" xfId="0" applyNumberFormat="1" applyFont="1" applyBorder="1"/>
    <xf numFmtId="167" fontId="22" fillId="0" borderId="7" xfId="0" applyNumberFormat="1" applyFont="1" applyBorder="1"/>
    <xf numFmtId="167" fontId="22" fillId="0" borderId="4" xfId="0" applyNumberFormat="1" applyFont="1" applyBorder="1"/>
    <xf numFmtId="167" fontId="22" fillId="2" borderId="10" xfId="0" applyNumberFormat="1" applyFont="1" applyFill="1" applyBorder="1"/>
    <xf numFmtId="167" fontId="22" fillId="2" borderId="2" xfId="0" applyNumberFormat="1" applyFont="1" applyFill="1" applyBorder="1"/>
    <xf numFmtId="1" fontId="11" fillId="0" borderId="3" xfId="0" applyNumberFormat="1" applyFont="1" applyBorder="1"/>
    <xf numFmtId="1" fontId="11" fillId="0" borderId="7" xfId="0" applyNumberFormat="1" applyFont="1" applyBorder="1"/>
    <xf numFmtId="1" fontId="11" fillId="0" borderId="4" xfId="0" applyNumberFormat="1" applyFont="1" applyBorder="1"/>
    <xf numFmtId="168" fontId="22" fillId="0" borderId="3" xfId="0" applyNumberFormat="1" applyFont="1" applyBorder="1"/>
    <xf numFmtId="168" fontId="22" fillId="0" borderId="7" xfId="0" applyNumberFormat="1" applyFont="1" applyBorder="1"/>
    <xf numFmtId="168" fontId="22" fillId="0" borderId="4" xfId="0" applyNumberFormat="1" applyFont="1" applyBorder="1"/>
    <xf numFmtId="164" fontId="12" fillId="0" borderId="0" xfId="0" applyNumberFormat="1" applyFont="1"/>
    <xf numFmtId="167" fontId="21" fillId="0" borderId="0" xfId="0" applyNumberFormat="1" applyFont="1"/>
    <xf numFmtId="166" fontId="21" fillId="0" borderId="0" xfId="0" applyNumberFormat="1" applyFont="1"/>
    <xf numFmtId="165" fontId="21" fillId="0" borderId="0" xfId="0" applyNumberFormat="1" applyFont="1"/>
    <xf numFmtId="169" fontId="21" fillId="0" borderId="0" xfId="0" applyNumberFormat="1" applyFont="1"/>
    <xf numFmtId="0" fontId="23" fillId="0" borderId="0" xfId="0" applyFont="1" applyAlignment="1">
      <alignment wrapText="1"/>
    </xf>
    <xf numFmtId="0" fontId="24" fillId="0" borderId="0" xfId="0" applyFont="1"/>
    <xf numFmtId="0" fontId="25" fillId="0" borderId="0" xfId="0" applyFont="1"/>
    <xf numFmtId="0" fontId="10" fillId="0" borderId="4" xfId="0" applyFont="1" applyBorder="1"/>
    <xf numFmtId="0" fontId="10" fillId="0" borderId="4" xfId="0" applyFont="1" applyBorder="1" applyAlignment="1">
      <alignment wrapText="1"/>
    </xf>
    <xf numFmtId="0" fontId="12" fillId="2" borderId="9" xfId="0" applyFont="1" applyFill="1" applyBorder="1" applyAlignment="1">
      <alignment horizontal="center"/>
    </xf>
    <xf numFmtId="0" fontId="25" fillId="0" borderId="4" xfId="0" applyFont="1" applyBorder="1"/>
    <xf numFmtId="0" fontId="19" fillId="0" borderId="3" xfId="0" applyFont="1" applyBorder="1"/>
    <xf numFmtId="0" fontId="19" fillId="0" borderId="7" xfId="0" applyFont="1" applyBorder="1"/>
    <xf numFmtId="0" fontId="19" fillId="0" borderId="4" xfId="0" applyFont="1" applyBorder="1"/>
    <xf numFmtId="0" fontId="10" fillId="0" borderId="5" xfId="0" applyFont="1" applyBorder="1"/>
    <xf numFmtId="170" fontId="12" fillId="0" borderId="3" xfId="0" applyNumberFormat="1" applyFont="1" applyBorder="1"/>
    <xf numFmtId="169" fontId="21" fillId="0" borderId="3" xfId="0" applyNumberFormat="1" applyFont="1" applyBorder="1"/>
    <xf numFmtId="170" fontId="12" fillId="0" borderId="7" xfId="0" applyNumberFormat="1" applyFont="1" applyBorder="1"/>
    <xf numFmtId="169" fontId="21" fillId="0" borderId="8" xfId="0" applyNumberFormat="1" applyFont="1" applyBorder="1"/>
    <xf numFmtId="0" fontId="15" fillId="0" borderId="3" xfId="0" applyFont="1" applyBorder="1"/>
    <xf numFmtId="2" fontId="21" fillId="0" borderId="0" xfId="0" applyNumberFormat="1" applyFont="1"/>
    <xf numFmtId="0" fontId="26" fillId="0" borderId="0" xfId="0" applyFont="1"/>
    <xf numFmtId="165" fontId="16" fillId="0" borderId="0" xfId="0" applyNumberFormat="1" applyFont="1"/>
    <xf numFmtId="0" fontId="26" fillId="0" borderId="0" xfId="0" applyFont="1" applyAlignment="1">
      <alignment wrapText="1"/>
    </xf>
    <xf numFmtId="165" fontId="28" fillId="0" borderId="0" xfId="0" applyNumberFormat="1" applyFont="1"/>
    <xf numFmtId="170" fontId="12" fillId="0" borderId="0" xfId="0" applyNumberFormat="1" applyFont="1"/>
    <xf numFmtId="0" fontId="9" fillId="0" borderId="0" xfId="0" applyFont="1" applyAlignment="1">
      <alignment wrapText="1"/>
    </xf>
    <xf numFmtId="0" fontId="0" fillId="0" borderId="0" xfId="0" applyAlignment="1">
      <alignment wrapText="1"/>
    </xf>
    <xf numFmtId="0" fontId="30" fillId="0" borderId="0" xfId="0" applyFont="1"/>
    <xf numFmtId="165" fontId="9" fillId="0" borderId="13" xfId="0" applyNumberFormat="1" applyFont="1" applyBorder="1"/>
    <xf numFmtId="165" fontId="9" fillId="0" borderId="14" xfId="0" applyNumberFormat="1" applyFont="1" applyBorder="1"/>
    <xf numFmtId="165" fontId="9" fillId="0" borderId="15" xfId="0" applyNumberFormat="1" applyFont="1" applyBorder="1"/>
    <xf numFmtId="165" fontId="9" fillId="0" borderId="3" xfId="0" applyNumberFormat="1" applyFont="1" applyBorder="1"/>
    <xf numFmtId="165" fontId="9" fillId="0" borderId="0" xfId="0" applyNumberFormat="1" applyFont="1"/>
    <xf numFmtId="165" fontId="9" fillId="0" borderId="4" xfId="0" applyNumberFormat="1" applyFont="1" applyBorder="1"/>
    <xf numFmtId="165" fontId="9" fillId="0" borderId="5" xfId="0" applyNumberFormat="1" applyFont="1" applyBorder="1"/>
    <xf numFmtId="165" fontId="9" fillId="0" borderId="12" xfId="0" applyNumberFormat="1" applyFont="1" applyBorder="1"/>
    <xf numFmtId="165" fontId="9" fillId="0" borderId="6" xfId="0" applyNumberFormat="1" applyFont="1" applyBorder="1"/>
    <xf numFmtId="164" fontId="12" fillId="2" borderId="15" xfId="0" applyNumberFormat="1" applyFont="1" applyFill="1" applyBorder="1" applyAlignment="1">
      <alignment horizontal="center"/>
    </xf>
    <xf numFmtId="164" fontId="12" fillId="2" borderId="3" xfId="0" applyNumberFormat="1" applyFont="1" applyFill="1" applyBorder="1" applyAlignment="1">
      <alignment horizontal="center" vertical="center"/>
    </xf>
    <xf numFmtId="164" fontId="12" fillId="2" borderId="5" xfId="0" applyNumberFormat="1" applyFont="1" applyFill="1" applyBorder="1" applyAlignment="1">
      <alignment horizontal="center" vertical="center"/>
    </xf>
    <xf numFmtId="0" fontId="9" fillId="0" borderId="0" xfId="0" applyFont="1" applyAlignment="1">
      <alignment horizontal="left" wrapText="1"/>
    </xf>
    <xf numFmtId="0" fontId="10" fillId="0" borderId="0" xfId="0" applyFont="1" applyAlignment="1">
      <alignment horizontal="left" wrapText="1"/>
    </xf>
    <xf numFmtId="2" fontId="12" fillId="2" borderId="7" xfId="0" applyNumberFormat="1" applyFont="1" applyFill="1" applyBorder="1" applyAlignment="1">
      <alignment horizontal="center" vertical="center"/>
    </xf>
    <xf numFmtId="2" fontId="12" fillId="2" borderId="8" xfId="0" applyNumberFormat="1" applyFont="1" applyFill="1" applyBorder="1" applyAlignment="1">
      <alignment horizontal="center" vertical="center"/>
    </xf>
    <xf numFmtId="2" fontId="12" fillId="2" borderId="11" xfId="0" applyNumberFormat="1" applyFont="1" applyFill="1" applyBorder="1" applyAlignment="1">
      <alignment horizontal="center" vertical="center"/>
    </xf>
    <xf numFmtId="165" fontId="9" fillId="0" borderId="8" xfId="0" applyNumberFormat="1" applyFont="1" applyBorder="1"/>
    <xf numFmtId="0" fontId="31" fillId="2" borderId="13" xfId="0" applyFont="1" applyFill="1" applyBorder="1" applyAlignment="1">
      <alignment horizontal="center"/>
    </xf>
    <xf numFmtId="164" fontId="12" fillId="2" borderId="11" xfId="0" applyNumberFormat="1" applyFont="1" applyFill="1" applyBorder="1" applyAlignment="1">
      <alignment horizontal="center"/>
    </xf>
    <xf numFmtId="165" fontId="9" fillId="0" borderId="11" xfId="0" applyNumberFormat="1" applyFont="1" applyBorder="1"/>
    <xf numFmtId="165" fontId="9" fillId="0" borderId="7" xfId="0" applyNumberFormat="1" applyFont="1" applyBorder="1"/>
    <xf numFmtId="0" fontId="31" fillId="2" borderId="1" xfId="0" applyFont="1" applyFill="1" applyBorder="1" applyAlignment="1">
      <alignment horizontal="center"/>
    </xf>
    <xf numFmtId="164" fontId="12" fillId="2" borderId="13" xfId="0" applyNumberFormat="1" applyFont="1" applyFill="1" applyBorder="1" applyAlignment="1">
      <alignment horizontal="center"/>
    </xf>
    <xf numFmtId="165" fontId="11" fillId="3" borderId="3" xfId="0" applyNumberFormat="1" applyFont="1" applyFill="1" applyBorder="1"/>
    <xf numFmtId="164" fontId="12" fillId="2" borderId="11" xfId="0" applyNumberFormat="1" applyFont="1" applyFill="1" applyBorder="1"/>
    <xf numFmtId="0" fontId="10" fillId="0" borderId="0" xfId="0" applyFont="1" applyAlignment="1">
      <alignment horizontal="left" vertical="center" wrapText="1"/>
    </xf>
    <xf numFmtId="0" fontId="4" fillId="0" borderId="0" xfId="0" applyFont="1" applyAlignment="1">
      <alignment wrapText="1"/>
    </xf>
    <xf numFmtId="0" fontId="35" fillId="0" borderId="0" xfId="0" applyFont="1" applyAlignment="1">
      <alignment horizontal="left" vertical="top" wrapText="1"/>
    </xf>
    <xf numFmtId="0" fontId="5" fillId="0" borderId="0" xfId="0" applyFont="1" applyAlignment="1">
      <alignment vertical="top" wrapText="1"/>
    </xf>
    <xf numFmtId="0" fontId="33" fillId="0" borderId="0" xfId="0" applyFont="1" applyAlignment="1">
      <alignment vertical="top" wrapText="1"/>
    </xf>
    <xf numFmtId="0" fontId="38" fillId="0" borderId="0" xfId="0" applyFont="1"/>
    <xf numFmtId="0" fontId="37" fillId="0" borderId="0" xfId="0" applyFont="1"/>
    <xf numFmtId="0" fontId="9" fillId="0" borderId="5" xfId="0" applyFont="1" applyBorder="1"/>
    <xf numFmtId="165" fontId="21" fillId="0" borderId="7" xfId="0" applyNumberFormat="1" applyFont="1" applyBorder="1"/>
    <xf numFmtId="165" fontId="12" fillId="0" borderId="7" xfId="0" applyNumberFormat="1" applyFont="1" applyBorder="1"/>
    <xf numFmtId="165" fontId="21" fillId="0" borderId="8" xfId="0" applyNumberFormat="1" applyFont="1" applyBorder="1"/>
    <xf numFmtId="0" fontId="12" fillId="0" borderId="5" xfId="0" applyFont="1" applyBorder="1"/>
    <xf numFmtId="169" fontId="21" fillId="0" borderId="6" xfId="0" applyNumberFormat="1" applyFont="1" applyBorder="1"/>
    <xf numFmtId="0" fontId="12" fillId="0" borderId="1" xfId="0" applyFont="1" applyBorder="1"/>
    <xf numFmtId="0" fontId="39" fillId="4" borderId="2" xfId="0" applyFont="1" applyFill="1" applyBorder="1" applyAlignment="1">
      <alignment horizontal="center"/>
    </xf>
    <xf numFmtId="0" fontId="15" fillId="0" borderId="1" xfId="0" applyFont="1" applyBorder="1"/>
    <xf numFmtId="165" fontId="12" fillId="3" borderId="2" xfId="0" applyNumberFormat="1" applyFont="1" applyFill="1" applyBorder="1"/>
    <xf numFmtId="0" fontId="10" fillId="0" borderId="0" xfId="0" applyFont="1" applyAlignment="1">
      <alignment vertical="top" wrapText="1"/>
    </xf>
    <xf numFmtId="0" fontId="1" fillId="0" borderId="0" xfId="0" applyFont="1" applyAlignment="1">
      <alignment vertical="top" wrapText="1"/>
    </xf>
    <xf numFmtId="0" fontId="1" fillId="0" borderId="7" xfId="0" applyFont="1" applyBorder="1"/>
    <xf numFmtId="0" fontId="1" fillId="0" borderId="0" xfId="0" applyFont="1"/>
    <xf numFmtId="0" fontId="1" fillId="0" borderId="3" xfId="0" applyFont="1" applyBorder="1"/>
    <xf numFmtId="0" fontId="1" fillId="0" borderId="4" xfId="0" applyFont="1" applyBorder="1"/>
    <xf numFmtId="0" fontId="1" fillId="0" borderId="5" xfId="0" applyFont="1" applyBorder="1"/>
    <xf numFmtId="0" fontId="1" fillId="0" borderId="6"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7030A0"/>
      <rgbColor rgb="FFFFF2CC"/>
      <rgbColor rgb="FFF2F2F2"/>
      <rgbColor rgb="FF660066"/>
      <rgbColor rgb="FFFF8080"/>
      <rgbColor rgb="FF0563C1"/>
      <rgbColor rgb="FFE2D9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29"/>
  <sheetViews>
    <sheetView zoomScaleNormal="100" workbookViewId="0">
      <selection activeCell="D7" sqref="D7"/>
    </sheetView>
  </sheetViews>
  <sheetFormatPr defaultColWidth="8.7109375" defaultRowHeight="15"/>
  <cols>
    <col min="1" max="1" width="6.5703125" customWidth="1"/>
    <col min="2" max="2" width="88.5703125" customWidth="1"/>
    <col min="3" max="3" width="55" customWidth="1"/>
    <col min="4" max="4" width="53" customWidth="1"/>
  </cols>
  <sheetData>
    <row r="2" spans="2:4" ht="23.25">
      <c r="B2" s="10" t="s">
        <v>0</v>
      </c>
    </row>
    <row r="3" spans="2:4">
      <c r="B3" s="59" t="s">
        <v>1</v>
      </c>
    </row>
    <row r="4" spans="2:4">
      <c r="B4" s="59" t="s">
        <v>2</v>
      </c>
    </row>
    <row r="6" spans="2:4" ht="15.75">
      <c r="B6" s="11" t="s">
        <v>3</v>
      </c>
    </row>
    <row r="7" spans="2:4" ht="69" customHeight="1">
      <c r="B7" s="125" t="s">
        <v>4</v>
      </c>
      <c r="C7" s="126"/>
    </row>
    <row r="8" spans="2:4">
      <c r="B8" s="126"/>
      <c r="C8" s="126"/>
    </row>
    <row r="9" spans="2:4" ht="15.75">
      <c r="B9" s="11" t="s">
        <v>5</v>
      </c>
    </row>
    <row r="10" spans="2:4" ht="25.5" customHeight="1">
      <c r="B10" s="8" t="s">
        <v>6</v>
      </c>
      <c r="C10" s="9" t="s">
        <v>7</v>
      </c>
      <c r="D10" s="5"/>
    </row>
    <row r="11" spans="2:4" ht="25.5" customHeight="1">
      <c r="B11" s="8" t="s">
        <v>8</v>
      </c>
      <c r="C11" s="9" t="s">
        <v>9</v>
      </c>
    </row>
    <row r="12" spans="2:4" ht="25.5" customHeight="1">
      <c r="B12" s="8" t="s">
        <v>10</v>
      </c>
      <c r="C12" s="9" t="s">
        <v>11</v>
      </c>
    </row>
    <row r="13" spans="2:4" ht="25.5" customHeight="1">
      <c r="B13" s="8" t="s">
        <v>12</v>
      </c>
      <c r="C13" s="9" t="s">
        <v>13</v>
      </c>
    </row>
    <row r="14" spans="2:4" ht="25.5" customHeight="1">
      <c r="B14" s="8" t="s">
        <v>14</v>
      </c>
      <c r="C14" s="9" t="s">
        <v>15</v>
      </c>
    </row>
    <row r="15" spans="2:4" ht="25.5" customHeight="1">
      <c r="B15" s="8" t="s">
        <v>16</v>
      </c>
      <c r="C15" s="9" t="s">
        <v>17</v>
      </c>
    </row>
    <row r="16" spans="2:4" ht="25.5" customHeight="1">
      <c r="B16" s="8" t="s">
        <v>18</v>
      </c>
      <c r="C16" s="9" t="s">
        <v>19</v>
      </c>
    </row>
    <row r="17" spans="2:3" ht="25.5" customHeight="1">
      <c r="B17" s="8" t="s">
        <v>20</v>
      </c>
      <c r="C17" s="9" t="s">
        <v>21</v>
      </c>
    </row>
    <row r="19" spans="2:3" ht="15.75">
      <c r="B19" s="11" t="s">
        <v>22</v>
      </c>
    </row>
    <row r="20" spans="2:3" ht="51.75" customHeight="1">
      <c r="B20" s="12" t="s">
        <v>23</v>
      </c>
      <c r="C20" s="3"/>
    </row>
    <row r="21" spans="2:3" ht="42" customHeight="1">
      <c r="B21" s="12" t="s">
        <v>24</v>
      </c>
      <c r="C21" s="3"/>
    </row>
    <row r="22" spans="2:3" ht="42.75" customHeight="1">
      <c r="B22" s="6" t="s">
        <v>25</v>
      </c>
      <c r="C22" s="3"/>
    </row>
    <row r="24" spans="2:3" ht="15.75">
      <c r="B24" s="11" t="s">
        <v>26</v>
      </c>
    </row>
    <row r="25" spans="2:3">
      <c r="B25" s="8" t="s">
        <v>27</v>
      </c>
    </row>
    <row r="26" spans="2:3">
      <c r="B26" s="8" t="s">
        <v>28</v>
      </c>
    </row>
    <row r="27" spans="2:3">
      <c r="B27" s="8" t="s">
        <v>29</v>
      </c>
    </row>
    <row r="28" spans="2:3">
      <c r="B28" s="8" t="s">
        <v>30</v>
      </c>
    </row>
    <row r="29" spans="2:3">
      <c r="B29" s="8" t="s">
        <v>31</v>
      </c>
    </row>
  </sheetData>
  <mergeCells count="1">
    <mergeCell ref="B7:C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30"/>
  <sheetViews>
    <sheetView topLeftCell="A7" zoomScaleNormal="100" workbookViewId="0">
      <selection activeCell="F15" sqref="F15"/>
    </sheetView>
  </sheetViews>
  <sheetFormatPr defaultColWidth="8.7109375" defaultRowHeight="15"/>
  <cols>
    <col min="1" max="1" width="3" customWidth="1"/>
    <col min="2" max="2" width="67.85546875" customWidth="1"/>
    <col min="3" max="3" width="22.7109375" customWidth="1"/>
    <col min="4" max="4" width="10.7109375" customWidth="1"/>
    <col min="5" max="5" width="10.28515625" customWidth="1"/>
  </cols>
  <sheetData>
    <row r="2" spans="2:4" ht="21">
      <c r="B2" s="4" t="s">
        <v>32</v>
      </c>
    </row>
    <row r="3" spans="2:4">
      <c r="B3" s="59" t="s">
        <v>33</v>
      </c>
    </row>
    <row r="5" spans="2:4" ht="15.75">
      <c r="B5" s="24" t="s">
        <v>34</v>
      </c>
      <c r="C5" s="23"/>
    </row>
    <row r="6" spans="2:4">
      <c r="B6" s="20"/>
      <c r="C6" s="15"/>
    </row>
    <row r="7" spans="2:4">
      <c r="B7" s="21" t="s">
        <v>35</v>
      </c>
      <c r="C7" s="18">
        <v>4.7E-2</v>
      </c>
      <c r="D7" s="3"/>
    </row>
    <row r="8" spans="2:4">
      <c r="B8" s="21" t="s">
        <v>36</v>
      </c>
      <c r="C8" s="27">
        <v>0.51</v>
      </c>
      <c r="D8" s="3"/>
    </row>
    <row r="9" spans="2:4">
      <c r="B9" s="21" t="s">
        <v>37</v>
      </c>
      <c r="C9" s="18">
        <v>0.05</v>
      </c>
      <c r="D9" s="3"/>
    </row>
    <row r="10" spans="2:4">
      <c r="B10" s="22" t="s">
        <v>38</v>
      </c>
      <c r="C10" s="31">
        <f>C7+C8*C9</f>
        <v>7.2500000000000009E-2</v>
      </c>
    </row>
    <row r="11" spans="2:4">
      <c r="B11" s="20"/>
      <c r="C11" s="15"/>
    </row>
    <row r="12" spans="2:4" ht="15.75">
      <c r="B12" s="24" t="s">
        <v>39</v>
      </c>
      <c r="C12" s="23"/>
    </row>
    <row r="13" spans="2:4">
      <c r="B13" s="20"/>
      <c r="C13" s="15"/>
    </row>
    <row r="14" spans="2:4">
      <c r="B14" s="21" t="s">
        <v>40</v>
      </c>
      <c r="C14" s="18">
        <v>5.3800000000000001E-2</v>
      </c>
      <c r="D14" s="3"/>
    </row>
    <row r="15" spans="2:4">
      <c r="B15" s="21" t="s">
        <v>41</v>
      </c>
      <c r="C15" s="18">
        <v>0.185</v>
      </c>
      <c r="D15" s="3"/>
    </row>
    <row r="16" spans="2:4">
      <c r="B16" s="22" t="s">
        <v>42</v>
      </c>
      <c r="C16" s="31">
        <f>C14*(1-C15)</f>
        <v>4.3846999999999997E-2</v>
      </c>
    </row>
    <row r="17" spans="2:4">
      <c r="B17" s="20"/>
      <c r="C17" s="15"/>
    </row>
    <row r="18" spans="2:4" ht="15.75">
      <c r="B18" s="24" t="s">
        <v>43</v>
      </c>
      <c r="C18" s="25"/>
    </row>
    <row r="19" spans="2:4">
      <c r="B19" s="20"/>
      <c r="C19" s="15"/>
    </row>
    <row r="20" spans="2:4">
      <c r="B20" s="21" t="s">
        <v>44</v>
      </c>
      <c r="C20" s="28">
        <v>1180.1600000000001</v>
      </c>
      <c r="D20" s="3"/>
    </row>
    <row r="21" spans="2:4">
      <c r="B21" s="21" t="s">
        <v>45</v>
      </c>
      <c r="C21" s="29">
        <v>891.74</v>
      </c>
      <c r="D21" s="3"/>
    </row>
    <row r="22" spans="2:4">
      <c r="B22" s="22" t="s">
        <v>46</v>
      </c>
      <c r="C22" s="32">
        <f>C20*C21</f>
        <v>1052395.8784</v>
      </c>
    </row>
    <row r="23" spans="2:4">
      <c r="B23" s="21" t="s">
        <v>47</v>
      </c>
      <c r="C23" s="19">
        <v>42503</v>
      </c>
      <c r="D23" s="3"/>
    </row>
    <row r="24" spans="2:4">
      <c r="B24" s="21" t="s">
        <v>48</v>
      </c>
      <c r="C24" s="32">
        <f>C22+C23</f>
        <v>1094898.8784</v>
      </c>
    </row>
    <row r="25" spans="2:4">
      <c r="B25" s="21" t="s">
        <v>49</v>
      </c>
      <c r="C25" s="31">
        <f>C22/C24</f>
        <v>0.96118088999953077</v>
      </c>
    </row>
    <row r="26" spans="2:4">
      <c r="B26" s="21" t="s">
        <v>50</v>
      </c>
      <c r="C26" s="31">
        <f>C23/C24</f>
        <v>3.8819110000469247E-2</v>
      </c>
    </row>
    <row r="27" spans="2:4">
      <c r="B27" s="127"/>
      <c r="C27" s="15"/>
    </row>
    <row r="28" spans="2:4" ht="17.25">
      <c r="B28" s="26" t="s">
        <v>51</v>
      </c>
      <c r="C28" s="30">
        <f>C25*C10+C26*C16</f>
        <v>7.1387716041156568E-2</v>
      </c>
    </row>
    <row r="30" spans="2:4" ht="66.75" customHeight="1">
      <c r="B30" s="6" t="s">
        <v>52</v>
      </c>
      <c r="C30" s="3"/>
      <c r="D30" s="3"/>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K45"/>
  <sheetViews>
    <sheetView zoomScaleNormal="100" workbookViewId="0">
      <selection activeCell="G36" sqref="G36"/>
    </sheetView>
  </sheetViews>
  <sheetFormatPr defaultColWidth="8.7109375" defaultRowHeight="15"/>
  <cols>
    <col min="1" max="1" width="6.5703125" customWidth="1"/>
    <col min="2" max="2" width="44.42578125" customWidth="1"/>
    <col min="3" max="7" width="13" customWidth="1"/>
    <col min="8" max="8" width="8.5703125" customWidth="1"/>
  </cols>
  <sheetData>
    <row r="2" spans="2:7" ht="21">
      <c r="B2" s="4" t="s">
        <v>53</v>
      </c>
    </row>
    <row r="3" spans="2:7">
      <c r="B3" s="59" t="s">
        <v>54</v>
      </c>
      <c r="C3" s="8"/>
      <c r="D3" s="8"/>
      <c r="E3" s="8"/>
      <c r="F3" s="128"/>
      <c r="G3" s="128"/>
    </row>
    <row r="4" spans="2:7">
      <c r="B4" s="59" t="s">
        <v>55</v>
      </c>
      <c r="C4" s="8"/>
      <c r="D4" s="8"/>
      <c r="E4" s="8"/>
      <c r="F4" s="128"/>
      <c r="G4" s="128"/>
    </row>
    <row r="6" spans="2:7">
      <c r="B6" s="33" t="s">
        <v>56</v>
      </c>
      <c r="C6" s="36" t="s">
        <v>57</v>
      </c>
      <c r="D6" s="36" t="s">
        <v>58</v>
      </c>
      <c r="E6" s="36" t="s">
        <v>59</v>
      </c>
      <c r="F6" s="36" t="s">
        <v>60</v>
      </c>
      <c r="G6" s="37" t="s">
        <v>61</v>
      </c>
    </row>
    <row r="7" spans="2:7">
      <c r="B7" s="129"/>
      <c r="C7" s="129"/>
      <c r="D7" s="129"/>
      <c r="E7" s="129"/>
      <c r="F7" s="127"/>
      <c r="G7" s="130"/>
    </row>
    <row r="8" spans="2:7">
      <c r="B8" s="34" t="s">
        <v>62</v>
      </c>
      <c r="C8" s="38">
        <v>36107.86</v>
      </c>
      <c r="D8" s="38">
        <v>43621.74</v>
      </c>
      <c r="E8" s="38">
        <v>50885.26</v>
      </c>
      <c r="F8" s="39">
        <v>57766.34</v>
      </c>
      <c r="G8" s="40">
        <v>64364.54</v>
      </c>
    </row>
    <row r="9" spans="2:7">
      <c r="B9" s="129"/>
      <c r="C9" s="129"/>
      <c r="D9" s="129"/>
      <c r="E9" s="129"/>
      <c r="F9" s="127"/>
      <c r="G9" s="130"/>
    </row>
    <row r="10" spans="2:7">
      <c r="B10" s="34" t="s">
        <v>63</v>
      </c>
      <c r="C10" s="41">
        <f>-C8*WACC!$C$15</f>
        <v>-6679.9540999999999</v>
      </c>
      <c r="D10" s="41">
        <f>-D8*WACC!$C$15</f>
        <v>-8070.0218999999997</v>
      </c>
      <c r="E10" s="41">
        <f>-E8*WACC!$C$15</f>
        <v>-9413.7731000000003</v>
      </c>
      <c r="F10" s="42">
        <f>-F8*WACC!$C$15</f>
        <v>-10686.7729</v>
      </c>
      <c r="G10" s="43">
        <f>-G8*WACC!$C$15</f>
        <v>-11907.439899999999</v>
      </c>
    </row>
    <row r="11" spans="2:7">
      <c r="B11" s="35" t="s">
        <v>64</v>
      </c>
      <c r="C11" s="44">
        <f>C8+C10</f>
        <v>29427.905900000002</v>
      </c>
      <c r="D11" s="44">
        <f>D8+D10</f>
        <v>35551.718099999998</v>
      </c>
      <c r="E11" s="44">
        <f>E8+E10</f>
        <v>41471.486900000004</v>
      </c>
      <c r="F11" s="44">
        <f>F8+F10</f>
        <v>47079.5671</v>
      </c>
      <c r="G11" s="45">
        <f>G8+G10</f>
        <v>52457.100100000003</v>
      </c>
    </row>
    <row r="12" spans="2:7">
      <c r="B12" s="129"/>
      <c r="C12" s="129"/>
      <c r="D12" s="129"/>
      <c r="E12" s="129"/>
      <c r="F12" s="127"/>
      <c r="G12" s="130"/>
    </row>
    <row r="13" spans="2:7">
      <c r="B13" s="34" t="s">
        <v>65</v>
      </c>
      <c r="C13" s="38">
        <v>2837.05</v>
      </c>
      <c r="D13" s="38">
        <v>3652.05</v>
      </c>
      <c r="E13" s="38">
        <v>4510.28</v>
      </c>
      <c r="F13" s="39">
        <v>5263.16</v>
      </c>
      <c r="G13" s="40">
        <v>6016.69</v>
      </c>
    </row>
    <row r="14" spans="2:7">
      <c r="B14" s="34" t="s">
        <v>66</v>
      </c>
      <c r="C14" s="38">
        <v>-10316.530000000001</v>
      </c>
      <c r="D14" s="38">
        <v>-11159.05</v>
      </c>
      <c r="E14" s="38">
        <v>-11564.83</v>
      </c>
      <c r="F14" s="39">
        <v>-11553.27</v>
      </c>
      <c r="G14" s="40">
        <v>-11893.45</v>
      </c>
    </row>
    <row r="15" spans="2:7">
      <c r="B15" s="34" t="s">
        <v>67</v>
      </c>
      <c r="C15" s="38">
        <v>22.35</v>
      </c>
      <c r="D15" s="38">
        <v>4510.03</v>
      </c>
      <c r="E15" s="38">
        <v>3011.41</v>
      </c>
      <c r="F15" s="39">
        <v>4528.63</v>
      </c>
      <c r="G15" s="40">
        <v>5308.82</v>
      </c>
    </row>
    <row r="16" spans="2:7">
      <c r="B16" s="129"/>
      <c r="C16" s="129"/>
      <c r="D16" s="129"/>
      <c r="E16" s="129"/>
      <c r="F16" s="127"/>
      <c r="G16" s="130"/>
    </row>
    <row r="17" spans="2:11">
      <c r="B17" s="35" t="s">
        <v>68</v>
      </c>
      <c r="C17" s="44">
        <f>C11+C13+C14+C15</f>
        <v>21970.775900000001</v>
      </c>
      <c r="D17" s="44">
        <f>D11+D13+D14+D15</f>
        <v>32554.748100000001</v>
      </c>
      <c r="E17" s="44">
        <f>E11+E13+E14+E15</f>
        <v>37428.346900000004</v>
      </c>
      <c r="F17" s="44">
        <f>F11+F13+F14+F15</f>
        <v>45318.087099999997</v>
      </c>
      <c r="G17" s="45">
        <f>G11+G13+G14+G15</f>
        <v>51889.160100000001</v>
      </c>
    </row>
    <row r="18" spans="2:11">
      <c r="B18" s="129"/>
      <c r="C18" s="129"/>
      <c r="D18" s="129"/>
      <c r="E18" s="129"/>
      <c r="F18" s="127"/>
      <c r="G18" s="130"/>
    </row>
    <row r="19" spans="2:11">
      <c r="B19" s="34" t="s">
        <v>69</v>
      </c>
      <c r="C19" s="46">
        <v>1</v>
      </c>
      <c r="D19" s="46">
        <v>2</v>
      </c>
      <c r="E19" s="46">
        <v>3</v>
      </c>
      <c r="F19" s="47">
        <v>4</v>
      </c>
      <c r="G19" s="48">
        <v>5</v>
      </c>
    </row>
    <row r="20" spans="2:11">
      <c r="B20" s="34" t="s">
        <v>70</v>
      </c>
      <c r="C20" s="49">
        <f>1/(1+WACC!$C$28)^C19</f>
        <v>0.93336892427240192</v>
      </c>
      <c r="D20" s="49">
        <f>1/(1+WACC!$C$28)^D19</f>
        <v>0.8711775487974206</v>
      </c>
      <c r="E20" s="49">
        <f>1/(1+WACC!$C$28)^E19</f>
        <v>0.81313005157131646</v>
      </c>
      <c r="F20" s="50">
        <f>1/(1+WACC!$C$28)^F19</f>
        <v>0.75895032152868225</v>
      </c>
      <c r="G20" s="51">
        <f>1/(1+WACC!$C$28)^G19</f>
        <v>0.70838064518141974</v>
      </c>
    </row>
    <row r="21" spans="2:11">
      <c r="B21" s="35" t="s">
        <v>71</v>
      </c>
      <c r="C21" s="44">
        <f>C17*C20</f>
        <v>20506.839467213013</v>
      </c>
      <c r="D21" s="44">
        <f>D17*D20</f>
        <v>28360.965651475486</v>
      </c>
      <c r="E21" s="44">
        <f>E17*E20</f>
        <v>30434.113645026126</v>
      </c>
      <c r="F21" s="44">
        <f>F17*F20</f>
        <v>34394.176775609827</v>
      </c>
      <c r="G21" s="45">
        <f>G17*G20</f>
        <v>36757.276709559985</v>
      </c>
    </row>
    <row r="24" spans="2:11" ht="15.75">
      <c r="B24" s="11" t="s">
        <v>72</v>
      </c>
      <c r="C24" s="8"/>
      <c r="D24" s="8"/>
      <c r="E24" s="8"/>
      <c r="F24" s="8"/>
      <c r="G24" s="8"/>
      <c r="H24" s="128"/>
      <c r="I24" s="128"/>
      <c r="J24" s="128"/>
      <c r="K24" s="128"/>
    </row>
    <row r="25" spans="2:11">
      <c r="B25" s="128"/>
      <c r="C25" s="128"/>
      <c r="D25" s="128"/>
      <c r="E25" s="128"/>
      <c r="F25" s="128"/>
      <c r="G25" s="128"/>
      <c r="H25" s="128"/>
      <c r="I25" s="128"/>
      <c r="J25" s="128"/>
      <c r="K25" s="128"/>
    </row>
    <row r="26" spans="2:11">
      <c r="B26" s="8" t="s">
        <v>73</v>
      </c>
      <c r="C26" s="52">
        <v>0.03</v>
      </c>
      <c r="D26" s="8" t="s">
        <v>74</v>
      </c>
      <c r="E26" s="128"/>
      <c r="F26" s="128"/>
      <c r="G26" s="128"/>
      <c r="H26" s="128"/>
      <c r="I26" s="128"/>
      <c r="J26" s="128"/>
      <c r="K26" s="128"/>
    </row>
    <row r="27" spans="2:11">
      <c r="B27" s="13" t="s">
        <v>75</v>
      </c>
      <c r="C27" s="53">
        <f>G17*(1+C26)/(WACC!$C$28-C26)</f>
        <v>1291345.3559469834</v>
      </c>
      <c r="D27" s="128"/>
      <c r="E27" s="128"/>
      <c r="F27" s="128"/>
      <c r="G27" s="128"/>
      <c r="H27" s="128"/>
      <c r="I27" s="128"/>
      <c r="J27" s="128"/>
      <c r="K27" s="128"/>
    </row>
    <row r="28" spans="2:11">
      <c r="B28" s="13" t="s">
        <v>76</v>
      </c>
      <c r="C28" s="53">
        <f>C27*G20</f>
        <v>914764.05639775423</v>
      </c>
      <c r="D28" s="128"/>
      <c r="E28" s="128"/>
      <c r="F28" s="128"/>
      <c r="G28" s="128"/>
      <c r="H28" s="128"/>
      <c r="I28" s="128"/>
      <c r="J28" s="128"/>
      <c r="K28" s="128"/>
    </row>
    <row r="29" spans="2:11">
      <c r="B29" s="128"/>
      <c r="C29" s="128"/>
      <c r="D29" s="128"/>
      <c r="E29" s="128"/>
      <c r="F29" s="128"/>
      <c r="G29" s="128"/>
      <c r="H29" s="128"/>
      <c r="I29" s="128"/>
      <c r="J29" s="128"/>
      <c r="K29" s="128"/>
    </row>
    <row r="30" spans="2:11">
      <c r="B30" s="128"/>
      <c r="C30" s="128"/>
      <c r="D30" s="128"/>
      <c r="E30" s="128"/>
      <c r="F30" s="128"/>
      <c r="G30" s="128"/>
      <c r="H30" s="128"/>
      <c r="I30" s="128"/>
      <c r="J30" s="128"/>
      <c r="K30" s="128"/>
    </row>
    <row r="31" spans="2:11" ht="15.75">
      <c r="B31" s="11" t="s">
        <v>77</v>
      </c>
      <c r="C31" s="128"/>
      <c r="D31" s="128"/>
      <c r="E31" s="128"/>
      <c r="F31" s="128"/>
      <c r="G31" s="128"/>
      <c r="H31" s="128"/>
      <c r="I31" s="128"/>
      <c r="J31" s="128"/>
      <c r="K31" s="128"/>
    </row>
    <row r="32" spans="2:11">
      <c r="B32" s="128"/>
      <c r="C32" s="128"/>
      <c r="D32" s="128"/>
      <c r="E32" s="128"/>
      <c r="F32" s="128"/>
      <c r="G32" s="128"/>
      <c r="H32" s="128"/>
      <c r="I32" s="128"/>
      <c r="J32" s="128"/>
      <c r="K32" s="128"/>
    </row>
    <row r="33" spans="2:11">
      <c r="B33" s="8" t="s">
        <v>78</v>
      </c>
      <c r="C33" s="53">
        <f>SUM(C21:G21)</f>
        <v>150453.37224888444</v>
      </c>
      <c r="D33" s="128"/>
      <c r="E33" s="128"/>
      <c r="F33" s="128"/>
      <c r="G33" s="128"/>
      <c r="H33" s="128"/>
      <c r="I33" s="128"/>
      <c r="J33" s="128"/>
      <c r="K33" s="128"/>
    </row>
    <row r="34" spans="2:11">
      <c r="B34" s="8" t="s">
        <v>79</v>
      </c>
      <c r="C34" s="14">
        <f>C28</f>
        <v>914764.05639775423</v>
      </c>
      <c r="D34" s="128"/>
      <c r="E34" s="128"/>
      <c r="F34" s="128"/>
      <c r="G34" s="128"/>
      <c r="H34" s="128"/>
      <c r="I34" s="128"/>
      <c r="J34" s="128"/>
      <c r="K34" s="128"/>
    </row>
    <row r="35" spans="2:11">
      <c r="B35" s="13" t="s">
        <v>80</v>
      </c>
      <c r="C35" s="53">
        <f>C33+C34</f>
        <v>1065217.4286466388</v>
      </c>
      <c r="D35" s="128"/>
      <c r="E35" s="128"/>
      <c r="F35" s="128"/>
      <c r="G35" s="128"/>
      <c r="H35" s="128"/>
      <c r="I35" s="128"/>
      <c r="J35" s="128"/>
      <c r="K35" s="128"/>
    </row>
    <row r="36" spans="2:11">
      <c r="B36" s="8" t="s">
        <v>81</v>
      </c>
      <c r="C36" s="14">
        <v>42503</v>
      </c>
      <c r="D36" s="128"/>
      <c r="E36" s="128"/>
      <c r="F36" s="128"/>
      <c r="G36" s="128"/>
      <c r="H36" s="128"/>
      <c r="I36" s="128"/>
      <c r="J36" s="128"/>
      <c r="K36" s="128"/>
    </row>
    <row r="37" spans="2:11">
      <c r="B37" s="8" t="s">
        <v>82</v>
      </c>
      <c r="C37" s="14">
        <v>7268</v>
      </c>
      <c r="D37" s="128"/>
      <c r="E37" s="128"/>
      <c r="F37" s="128"/>
      <c r="G37" s="128"/>
      <c r="H37" s="128"/>
      <c r="I37" s="128"/>
      <c r="J37" s="128"/>
      <c r="K37" s="128"/>
    </row>
    <row r="38" spans="2:11">
      <c r="B38" s="13" t="s">
        <v>83</v>
      </c>
      <c r="C38" s="53">
        <f>C35-C36+C37</f>
        <v>1029982.4286466388</v>
      </c>
      <c r="D38" s="128"/>
      <c r="E38" s="128"/>
      <c r="F38" s="128"/>
      <c r="G38" s="128"/>
      <c r="H38" s="128"/>
      <c r="I38" s="128"/>
      <c r="J38" s="128"/>
      <c r="K38" s="128"/>
    </row>
    <row r="39" spans="2:11">
      <c r="B39" s="8" t="s">
        <v>45</v>
      </c>
      <c r="C39" s="54">
        <f>WACC!$C$21</f>
        <v>891.74</v>
      </c>
      <c r="D39" s="128"/>
      <c r="E39" s="128"/>
      <c r="F39" s="128"/>
      <c r="G39" s="128"/>
      <c r="H39" s="128"/>
      <c r="I39" s="128"/>
      <c r="J39" s="128"/>
      <c r="K39" s="128"/>
    </row>
    <row r="40" spans="2:11">
      <c r="B40" s="128"/>
      <c r="C40" s="128"/>
      <c r="D40" s="128"/>
      <c r="E40" s="128"/>
      <c r="F40" s="128"/>
      <c r="G40" s="128"/>
      <c r="H40" s="128"/>
      <c r="I40" s="128"/>
      <c r="J40" s="128"/>
      <c r="K40" s="128"/>
    </row>
    <row r="41" spans="2:11" ht="15.75">
      <c r="B41" s="13" t="s">
        <v>84</v>
      </c>
      <c r="C41" s="77">
        <f>C38/C39</f>
        <v>1155.0254879747895</v>
      </c>
      <c r="D41" s="128"/>
      <c r="E41" s="128"/>
      <c r="F41" s="128"/>
      <c r="G41" s="128"/>
      <c r="H41" s="128"/>
      <c r="I41" s="128"/>
      <c r="J41" s="128"/>
      <c r="K41" s="128"/>
    </row>
    <row r="42" spans="2:11">
      <c r="B42" s="8" t="s">
        <v>44</v>
      </c>
      <c r="C42" s="55">
        <f>WACC!$C$20</f>
        <v>1180.1600000000001</v>
      </c>
      <c r="D42" s="128"/>
      <c r="E42" s="128"/>
      <c r="F42" s="128"/>
      <c r="G42" s="128"/>
      <c r="H42" s="128"/>
      <c r="I42" s="128"/>
      <c r="J42" s="128"/>
      <c r="K42" s="128"/>
    </row>
    <row r="43" spans="2:11">
      <c r="B43" s="13" t="s">
        <v>85</v>
      </c>
      <c r="C43" s="56">
        <f>C41/C42-1</f>
        <v>-2.1297546116806676E-2</v>
      </c>
      <c r="D43" s="128"/>
      <c r="E43" s="128"/>
      <c r="F43" s="128"/>
      <c r="G43" s="128"/>
      <c r="H43" s="128"/>
      <c r="I43" s="128"/>
      <c r="J43" s="128"/>
      <c r="K43" s="128"/>
    </row>
    <row r="44" spans="2:11">
      <c r="B44" s="128"/>
      <c r="C44" s="128"/>
      <c r="D44" s="128"/>
      <c r="E44" s="128"/>
      <c r="F44" s="128"/>
      <c r="G44" s="128"/>
      <c r="H44" s="128"/>
      <c r="I44" s="128"/>
      <c r="J44" s="128"/>
      <c r="K44" s="128"/>
    </row>
    <row r="45" spans="2:11" ht="76.5">
      <c r="B45" s="57" t="s">
        <v>86</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37"/>
  <sheetViews>
    <sheetView zoomScaleNormal="100" workbookViewId="0">
      <selection activeCell="D14" sqref="D14"/>
    </sheetView>
  </sheetViews>
  <sheetFormatPr defaultColWidth="8.7109375" defaultRowHeight="15"/>
  <cols>
    <col min="1" max="1" width="3" customWidth="1"/>
    <col min="2" max="2" width="48.28515625" customWidth="1"/>
    <col min="3" max="3" width="22.5703125" customWidth="1"/>
    <col min="4" max="4" width="20.5703125" customWidth="1"/>
    <col min="5" max="5" width="20.140625" customWidth="1"/>
    <col min="6" max="6" width="71" customWidth="1"/>
    <col min="7" max="7" width="11.42578125" customWidth="1"/>
    <col min="8" max="8" width="10.140625" customWidth="1"/>
  </cols>
  <sheetData>
    <row r="2" spans="2:6" ht="21">
      <c r="B2" s="4" t="s">
        <v>87</v>
      </c>
      <c r="C2" s="58"/>
      <c r="D2" s="58"/>
    </row>
    <row r="3" spans="2:6">
      <c r="B3" s="7" t="s">
        <v>88</v>
      </c>
      <c r="C3" s="8"/>
      <c r="D3" s="8"/>
      <c r="E3" s="8"/>
      <c r="F3" s="8"/>
    </row>
    <row r="4" spans="2:6">
      <c r="B4" s="7" t="s">
        <v>89</v>
      </c>
      <c r="C4" s="8"/>
      <c r="D4" s="8"/>
      <c r="E4" s="8"/>
      <c r="F4" s="8"/>
    </row>
    <row r="6" spans="2:6">
      <c r="B6" s="33" t="s">
        <v>90</v>
      </c>
      <c r="C6" s="33" t="s">
        <v>91</v>
      </c>
      <c r="D6" s="33" t="s">
        <v>92</v>
      </c>
      <c r="E6" s="62" t="s">
        <v>93</v>
      </c>
      <c r="F6" s="37" t="s">
        <v>94</v>
      </c>
    </row>
    <row r="7" spans="2:6">
      <c r="B7" s="17" t="s">
        <v>95</v>
      </c>
      <c r="C7" s="17" t="s">
        <v>96</v>
      </c>
      <c r="D7" s="68">
        <v>32.409999999999997</v>
      </c>
      <c r="E7" s="70">
        <v>31.49</v>
      </c>
      <c r="F7" s="60" t="s">
        <v>97</v>
      </c>
    </row>
    <row r="8" spans="2:6">
      <c r="B8" s="16" t="s">
        <v>98</v>
      </c>
      <c r="C8" s="16" t="s">
        <v>99</v>
      </c>
      <c r="D8" s="68">
        <v>14.3</v>
      </c>
      <c r="E8" s="70">
        <v>9.5</v>
      </c>
      <c r="F8" s="60" t="s">
        <v>100</v>
      </c>
    </row>
    <row r="9" spans="2:6">
      <c r="B9" s="16" t="s">
        <v>101</v>
      </c>
      <c r="C9" s="16" t="s">
        <v>102</v>
      </c>
      <c r="D9" s="68">
        <v>18.559999999999999</v>
      </c>
      <c r="E9" s="70">
        <v>7.47</v>
      </c>
      <c r="F9" s="60" t="s">
        <v>103</v>
      </c>
    </row>
    <row r="10" spans="2:6" ht="30.75">
      <c r="B10" s="16" t="s">
        <v>104</v>
      </c>
      <c r="C10" s="16" t="s">
        <v>105</v>
      </c>
      <c r="D10" s="68">
        <v>15.13</v>
      </c>
      <c r="E10" s="70">
        <v>28.66</v>
      </c>
      <c r="F10" s="61" t="s">
        <v>106</v>
      </c>
    </row>
    <row r="11" spans="2:6">
      <c r="B11" s="16" t="s">
        <v>107</v>
      </c>
      <c r="C11" s="16" t="s">
        <v>108</v>
      </c>
      <c r="D11" s="68">
        <v>19</v>
      </c>
      <c r="E11" s="70">
        <v>16.7</v>
      </c>
      <c r="F11" s="63"/>
    </row>
    <row r="12" spans="2:6">
      <c r="B12" s="129"/>
      <c r="C12" s="129"/>
      <c r="D12" s="129"/>
      <c r="E12" s="127"/>
      <c r="F12" s="60"/>
    </row>
    <row r="13" spans="2:6">
      <c r="B13" s="17" t="s">
        <v>109</v>
      </c>
      <c r="C13" s="129"/>
      <c r="D13" s="68">
        <f>AVERAGE(D8:D11)</f>
        <v>16.747500000000002</v>
      </c>
      <c r="E13" s="70">
        <f>AVERAGE(E8:E11)</f>
        <v>15.5825</v>
      </c>
      <c r="F13" s="130"/>
    </row>
    <row r="14" spans="2:6">
      <c r="B14" s="16" t="s">
        <v>110</v>
      </c>
      <c r="C14" s="129"/>
      <c r="D14" s="68">
        <f>MEDIAN(D8:D11)</f>
        <v>16.844999999999999</v>
      </c>
      <c r="E14" s="70">
        <f>MEDIAN(E8:E11)</f>
        <v>13.1</v>
      </c>
      <c r="F14" s="130"/>
    </row>
    <row r="15" spans="2:6">
      <c r="B15" s="129"/>
      <c r="C15" s="129"/>
      <c r="D15" s="129"/>
      <c r="E15" s="127"/>
      <c r="F15" s="130"/>
    </row>
    <row r="16" spans="2:6">
      <c r="B16" s="129"/>
      <c r="C16" s="129"/>
      <c r="D16" s="129"/>
      <c r="E16" s="127"/>
      <c r="F16" s="130"/>
    </row>
    <row r="17" spans="2:6" ht="15.75">
      <c r="B17" s="72" t="s">
        <v>111</v>
      </c>
      <c r="C17" s="64"/>
      <c r="D17" s="64"/>
      <c r="E17" s="65"/>
      <c r="F17" s="66"/>
    </row>
    <row r="18" spans="2:6">
      <c r="B18" s="129"/>
      <c r="C18" s="129"/>
      <c r="D18" s="129"/>
      <c r="E18" s="127"/>
      <c r="F18" s="130"/>
    </row>
    <row r="19" spans="2:6">
      <c r="B19" s="16" t="s">
        <v>112</v>
      </c>
      <c r="C19" s="129"/>
      <c r="D19" s="69">
        <f>D7/D14-1</f>
        <v>0.92401306025526853</v>
      </c>
      <c r="E19" s="127"/>
      <c r="F19" s="130"/>
    </row>
    <row r="20" spans="2:6">
      <c r="B20" s="67" t="s">
        <v>113</v>
      </c>
      <c r="C20" s="131"/>
      <c r="D20" s="131"/>
      <c r="E20" s="71">
        <f>E7/E14-1</f>
        <v>1.4038167938931299</v>
      </c>
      <c r="F20" s="132"/>
    </row>
    <row r="23" spans="2:6" ht="15.75">
      <c r="B23" s="11" t="s">
        <v>114</v>
      </c>
      <c r="C23" s="58"/>
      <c r="D23" s="58"/>
    </row>
    <row r="25" spans="2:6">
      <c r="B25" s="8" t="s">
        <v>115</v>
      </c>
      <c r="C25" s="14">
        <v>28800.32</v>
      </c>
    </row>
    <row r="26" spans="2:6">
      <c r="B26" s="8" t="s">
        <v>116</v>
      </c>
      <c r="C26" s="53">
        <f>D14*C25</f>
        <v>485141.39039999997</v>
      </c>
    </row>
    <row r="27" spans="2:6">
      <c r="B27" s="8" t="s">
        <v>117</v>
      </c>
      <c r="C27" s="54">
        <f>WACC!$C$21</f>
        <v>891.74</v>
      </c>
    </row>
    <row r="29" spans="2:6" ht="15.75">
      <c r="B29" s="13" t="s">
        <v>118</v>
      </c>
      <c r="C29" s="75">
        <f>C26/C27</f>
        <v>544.03905891851878</v>
      </c>
    </row>
    <row r="30" spans="2:6">
      <c r="B30" s="2"/>
      <c r="C30" s="2"/>
      <c r="D30" s="2"/>
      <c r="E30" s="2"/>
      <c r="F30" s="2"/>
    </row>
    <row r="31" spans="2:6" ht="15.75">
      <c r="B31" s="11" t="s">
        <v>119</v>
      </c>
      <c r="C31" s="128"/>
      <c r="D31" s="128"/>
      <c r="E31" s="128"/>
      <c r="F31" s="128"/>
    </row>
    <row r="32" spans="2:6">
      <c r="B32" s="128"/>
      <c r="C32" s="128"/>
      <c r="D32" s="128"/>
      <c r="E32" s="128"/>
      <c r="F32" s="128"/>
    </row>
    <row r="33" spans="2:6">
      <c r="B33" s="8" t="s">
        <v>120</v>
      </c>
      <c r="C33" s="78">
        <f>D7</f>
        <v>32.409999999999997</v>
      </c>
      <c r="D33" s="128"/>
      <c r="E33" s="128"/>
      <c r="F33" s="128"/>
    </row>
    <row r="34" spans="2:6">
      <c r="B34" s="8" t="s">
        <v>121</v>
      </c>
      <c r="C34" s="52">
        <v>0.22800000000000001</v>
      </c>
      <c r="D34" s="74" t="s">
        <v>122</v>
      </c>
      <c r="E34" s="128"/>
      <c r="F34" s="128"/>
    </row>
    <row r="35" spans="2:6">
      <c r="B35" s="13" t="s">
        <v>123</v>
      </c>
      <c r="C35" s="73">
        <f>D7/(C34*100)</f>
        <v>1.4214912280701753</v>
      </c>
      <c r="D35" s="128"/>
      <c r="E35" s="128"/>
      <c r="F35" s="128"/>
    </row>
    <row r="36" spans="2:6">
      <c r="B36" s="13"/>
      <c r="C36" s="73"/>
      <c r="D36" s="128"/>
      <c r="E36" s="128"/>
      <c r="F36" s="128"/>
    </row>
    <row r="37" spans="2:6" ht="30.75">
      <c r="B37" s="76" t="s">
        <v>124</v>
      </c>
      <c r="C37" s="76"/>
      <c r="D37" s="76"/>
      <c r="E37" s="76"/>
      <c r="F37" s="76"/>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H38"/>
  <sheetViews>
    <sheetView topLeftCell="A4" zoomScaleNormal="100" workbookViewId="0">
      <selection activeCell="K24" sqref="K24"/>
    </sheetView>
  </sheetViews>
  <sheetFormatPr defaultColWidth="8.7109375" defaultRowHeight="15"/>
  <cols>
    <col min="1" max="1" width="6" customWidth="1"/>
    <col min="2" max="2" width="33.85546875" customWidth="1"/>
    <col min="3" max="9" width="13" customWidth="1"/>
  </cols>
  <sheetData>
    <row r="2" spans="2:7" ht="21">
      <c r="B2" s="4" t="s">
        <v>125</v>
      </c>
    </row>
    <row r="3" spans="2:7" ht="28.5" customHeight="1">
      <c r="B3" s="79" t="s">
        <v>126</v>
      </c>
    </row>
    <row r="4" spans="2:7" ht="59.25" customHeight="1">
      <c r="B4" s="94" t="s">
        <v>127</v>
      </c>
    </row>
    <row r="5" spans="2:7">
      <c r="B5" s="2"/>
    </row>
    <row r="6" spans="2:7" ht="15.75">
      <c r="B6" s="11" t="s">
        <v>128</v>
      </c>
    </row>
    <row r="8" spans="2:7" ht="15.75">
      <c r="B8" s="104" t="s">
        <v>129</v>
      </c>
      <c r="C8" s="105">
        <v>0.02</v>
      </c>
      <c r="D8" s="105">
        <v>2.5000000000000001E-2</v>
      </c>
      <c r="E8" s="105">
        <v>0.03</v>
      </c>
      <c r="F8" s="101">
        <v>3.5000000000000003E-2</v>
      </c>
      <c r="G8" s="91">
        <v>0.04</v>
      </c>
    </row>
    <row r="9" spans="2:7">
      <c r="B9" s="92">
        <v>5.5E-2</v>
      </c>
      <c r="C9" s="82">
        <f>(SUMPRODUCT('DCF Valuation'!$C$17:$G$17,1/(1+0.055)^('DCF Valuation'!$C$19:$G$19))+('DCF Valuation'!$G$17*(1+0.02)/(0.055-0.02))/(1+0.055)^5-'DCF Valuation'!$C$36+'DCF Valuation'!$C$37)/WACC!$C$21</f>
        <v>1435.4322916899757</v>
      </c>
      <c r="D9" s="82">
        <f>(SUMPRODUCT('DCF Valuation'!$C$17:$G$17,1/(1+0.055)^('DCF Valuation'!$C$19:$G$19))+('DCF Valuation'!$G$17*(1+0.025)/(0.055-0.025))/(1+0.055)^5-'DCF Valuation'!$C$36+'DCF Valuation'!$C$37)/WACC!$C$21</f>
        <v>1659.1030756607922</v>
      </c>
      <c r="E9" s="82">
        <f>(SUMPRODUCT('DCF Valuation'!$C$17:$G$17,1/(1+0.055)^('DCF Valuation'!$C$19:$G$19))+('DCF Valuation'!$G$17*(1+0.03)/(0.055-0.03))/(1+0.055)^5-'DCF Valuation'!$C$36+'DCF Valuation'!$C$37)/WACC!$C$21</f>
        <v>1972.2421732199352</v>
      </c>
      <c r="F9" s="102">
        <f>(SUMPRODUCT('DCF Valuation'!$C$17:$G$17,1/(1+0.055)^('DCF Valuation'!$C$19:$G$19))+('DCF Valuation'!$G$17*(1+0.035)/(0.055-0.035))/(1+0.055)^5-'DCF Valuation'!$C$36+'DCF Valuation'!$C$37)/WACC!$C$21</f>
        <v>2441.9508195586495</v>
      </c>
      <c r="G9" s="84">
        <f>(SUMPRODUCT('DCF Valuation'!$C$17:$G$17,1/(1+0.055)^('DCF Valuation'!$C$19:$G$19))+('DCF Valuation'!$G$17*(1+0.04)/(0.055-0.04))/(1+0.055)^5-'DCF Valuation'!$C$36+'DCF Valuation'!$C$37)/WACC!$C$21</f>
        <v>3224.798563456508</v>
      </c>
    </row>
    <row r="10" spans="2:7">
      <c r="B10" s="92">
        <v>6.1400000000000003E-2</v>
      </c>
      <c r="C10" s="85">
        <f>(SUMPRODUCT('DCF Valuation'!$C$17:$G$17,1/(1+0.0614)^('DCF Valuation'!$C$19:$G$19))+('DCF Valuation'!$G$17*(1+0.02)/(0.0614-0.02))/(1+0.0614)^5-'DCF Valuation'!$C$36+'DCF Valuation'!$C$37)/WACC!$C$21</f>
        <v>1198.6930592597416</v>
      </c>
      <c r="D10" s="85">
        <f>(SUMPRODUCT('DCF Valuation'!$C$17:$G$17,1/(1+0.0614)^('DCF Valuation'!$C$19:$G$19))+('DCF Valuation'!$G$17*(1+0.025)/(0.0614-0.025))/(1+0.0614)^5-'DCF Valuation'!$C$36+'DCF Valuation'!$C$37)/WACC!$C$21</f>
        <v>1350.814468358765</v>
      </c>
      <c r="E10" s="85">
        <f>(SUMPRODUCT('DCF Valuation'!$C$17:$G$17,1/(1+0.0614)^('DCF Valuation'!$C$19:$G$19))+('DCF Valuation'!$G$17*(1+0.03)/(0.0614-0.03))/(1+0.0614)^5-'DCF Valuation'!$C$36+'DCF Valuation'!$C$37)/WACC!$C$21</f>
        <v>1551.38218608805</v>
      </c>
      <c r="F10" s="103">
        <f>(SUMPRODUCT('DCF Valuation'!$C$17:$G$17,1/(1+0.0614)^('DCF Valuation'!$C$19:$G$19))+('DCF Valuation'!$G$17*(1+0.035)/(0.0614-0.035))/(1+0.0614)^5-'DCF Valuation'!$C$36+'DCF Valuation'!$C$37)/WACC!$C$21</f>
        <v>1827.9225241693373</v>
      </c>
      <c r="G10" s="87">
        <f>(SUMPRODUCT('DCF Valuation'!$C$17:$G$17,1/(1+0.0614)^('DCF Valuation'!$C$19:$G$19))+('DCF Valuation'!$G$17*(1+0.04)/(0.0614-0.04))/(1+0.0614)^5-'DCF Valuation'!$C$36+'DCF Valuation'!$C$37)/WACC!$C$21</f>
        <v>2233.6873192979551</v>
      </c>
    </row>
    <row r="11" spans="2:7">
      <c r="B11" s="92">
        <v>7.1400000000000005E-2</v>
      </c>
      <c r="C11" s="85">
        <f>(SUMPRODUCT('DCF Valuation'!$C$17:$G$17,1/(1+0.0714)^('DCF Valuation'!$C$19:$G$19))+('DCF Valuation'!$G$17*(1+0.02)/(0.0714-0.02))/(1+0.0714)^5-'DCF Valuation'!$C$36+'DCF Valuation'!$C$37)/WACC!$C$21</f>
        <v>947.13200965394333</v>
      </c>
      <c r="D11" s="85">
        <f>(SUMPRODUCT('DCF Valuation'!$C$17:$G$17,1/(1+0.0714)^('DCF Valuation'!$C$19:$G$19))+('DCF Valuation'!$G$17*(1+0.025)/(0.0714-0.025))/(1+0.0714)^5-'DCF Valuation'!$C$36+'DCF Valuation'!$C$37)/WACC!$C$21</f>
        <v>1039.7127671519497</v>
      </c>
      <c r="E11" s="106">
        <f>(SUMPRODUCT('DCF Valuation'!$C$17:$G$17,1/(1+0.0714)^('DCF Valuation'!$C$19:$G$19))+('DCF Valuation'!$G$17*(1+0.03)/(0.0714-0.03))/(1+0.0714)^5-'DCF Valuation'!$C$36+'DCF Valuation'!$C$37)/WACC!$C$21</f>
        <v>1154.6560264610689</v>
      </c>
      <c r="F11" s="103">
        <f>(SUMPRODUCT('DCF Valuation'!$C$17:$G$17,1/(1+0.0714)^('DCF Valuation'!$C$19:$G$19))+('DCF Valuation'!$G$17*(1+0.035)/(0.0714-0.035))/(1+0.0714)^5-'DCF Valuation'!$C$36+'DCF Valuation'!$C$37)/WACC!$C$21</f>
        <v>1301.1771042617042</v>
      </c>
      <c r="G11" s="87">
        <f>(SUMPRODUCT('DCF Valuation'!$C$17:$G$17,1/(1+0.0714)^('DCF Valuation'!$C$19:$G$19))+('DCF Valuation'!$G$17*(1+0.04)/(0.0714-0.04))/(1+0.0714)^5-'DCF Valuation'!$C$36+'DCF Valuation'!$C$37)/WACC!$C$21</f>
        <v>1494.3609456931154</v>
      </c>
    </row>
    <row r="12" spans="2:7">
      <c r="B12" s="92">
        <v>8.14E-2</v>
      </c>
      <c r="C12" s="85">
        <f>(SUMPRODUCT('DCF Valuation'!$C$17:$G$17,1/(1+0.0814)^('DCF Valuation'!$C$19:$G$19))+('DCF Valuation'!$G$17*(1+0.02)/(0.0814-0.02))/(1+0.0814)^5-'DCF Valuation'!$C$36+'DCF Valuation'!$C$37)/WACC!$C$21</f>
        <v>777.82565450162474</v>
      </c>
      <c r="D12" s="85">
        <f>(SUMPRODUCT('DCF Valuation'!$C$17:$G$17,1/(1+0.0814)^('DCF Valuation'!$C$19:$G$19))+('DCF Valuation'!$G$17*(1+0.025)/(0.0814-0.025))/(1+0.0814)^5-'DCF Valuation'!$C$36+'DCF Valuation'!$C$37)/WACC!$C$21</f>
        <v>839.26059775865031</v>
      </c>
      <c r="E12" s="85">
        <f>(SUMPRODUCT('DCF Valuation'!$C$17:$G$17,1/(1+0.0814)^('DCF Valuation'!$C$19:$G$19))+('DCF Valuation'!$G$17*(1+0.03)/(0.0814-0.03))/(1+0.0814)^5-'DCF Valuation'!$C$36+'DCF Valuation'!$C$37)/WACC!$C$21</f>
        <v>912.64786460653693</v>
      </c>
      <c r="F12" s="103">
        <f>(SUMPRODUCT('DCF Valuation'!$C$17:$G$17,1/(1+0.0814)^('DCF Valuation'!$C$19:$G$19))+('DCF Valuation'!$G$17*(1+0.035)/(0.0814-0.035))/(1+0.0814)^5-'DCF Valuation'!$C$36+'DCF Valuation'!$C$37)/WACC!$C$21</f>
        <v>1001.8513527578473</v>
      </c>
      <c r="G12" s="87">
        <f>(SUMPRODUCT('DCF Valuation'!$C$17:$G$17,1/(1+0.0814)^('DCF Valuation'!$C$19:$G$19))+('DCF Valuation'!$G$17*(1+0.04)/(0.0814-0.04))/(1+0.0814)^5-'DCF Valuation'!$C$36+'DCF Valuation'!$C$37)/WACC!$C$21</f>
        <v>1112.6015771775901</v>
      </c>
    </row>
    <row r="13" spans="2:7">
      <c r="B13" s="92">
        <v>0.09</v>
      </c>
      <c r="C13" s="85">
        <f>(SUMPRODUCT('DCF Valuation'!$C$17:$G$17,1/(1+0.09)^('DCF Valuation'!$C$19:$G$19))+('DCF Valuation'!$G$17*(1+0.02)/(0.09-0.02))/(1+0.09)^5-'DCF Valuation'!$C$36+'DCF Valuation'!$C$37)/WACC!$C$21</f>
        <v>671.12092133610213</v>
      </c>
      <c r="D13" s="85">
        <f>(SUMPRODUCT('DCF Valuation'!$C$17:$G$17,1/(1+0.09)^('DCF Valuation'!$C$19:$G$19))+('DCF Valuation'!$G$17*(1+0.025)/(0.09-0.025))/(1+0.09)^5-'DCF Valuation'!$C$36+'DCF Valuation'!$C$37)/WACC!$C$21</f>
        <v>716.42017107533047</v>
      </c>
      <c r="E13" s="85">
        <f>(SUMPRODUCT('DCF Valuation'!$C$17:$G$17,1/(1+0.09)^('DCF Valuation'!$C$19:$G$19))+('DCF Valuation'!$G$17*(1+0.03)/(0.09-0.03))/(1+0.09)^5-'DCF Valuation'!$C$36+'DCF Valuation'!$C$37)/WACC!$C$21</f>
        <v>769.26929577109729</v>
      </c>
      <c r="F13" s="103">
        <f>(SUMPRODUCT('DCF Valuation'!$C$17:$G$17,1/(1+0.09)^('DCF Valuation'!$C$19:$G$19))+('DCF Valuation'!$G$17*(1+0.035)/(0.09-0.035))/(1+0.09)^5-'DCF Valuation'!$C$36+'DCF Valuation'!$C$37)/WACC!$C$21</f>
        <v>831.72735222973029</v>
      </c>
      <c r="G13" s="87">
        <f>(SUMPRODUCT('DCF Valuation'!$C$17:$G$17,1/(1+0.09)^('DCF Valuation'!$C$19:$G$19))+('DCF Valuation'!$G$17*(1+0.04)/(0.09-0.04))/(1+0.09)^5-'DCF Valuation'!$C$36+'DCF Valuation'!$C$37)/WACC!$C$21</f>
        <v>906.67701998009056</v>
      </c>
    </row>
    <row r="14" spans="2:7">
      <c r="B14" s="93">
        <v>0.1</v>
      </c>
      <c r="C14" s="88">
        <f>(SUMPRODUCT('DCF Valuation'!$C$17:$G$17,1/(1+0.1)^('DCF Valuation'!$C$19:$G$19))+('DCF Valuation'!$G$17*(1+0.02)/(0.1-0.02))/(1+0.1)^5-'DCF Valuation'!$C$36+'DCF Valuation'!$C$37)/WACC!$C$21</f>
        <v>576.09723584322842</v>
      </c>
      <c r="D14" s="88">
        <f>(SUMPRODUCT('DCF Valuation'!$C$17:$G$17,1/(1+0.1)^('DCF Valuation'!$C$19:$G$19))+('DCF Valuation'!$G$17*(1+0.025)/(0.1-0.025))/(1+0.1)^5-'DCF Valuation'!$C$36+'DCF Valuation'!$C$37)/WACC!$C$21</f>
        <v>609.21693677987332</v>
      </c>
      <c r="E14" s="88">
        <f>(SUMPRODUCT('DCF Valuation'!$C$17:$G$17,1/(1+0.1)^('DCF Valuation'!$C$19:$G$19))+('DCF Valuation'!$G$17*(1+0.03)/(0.1-0.03))/(1+0.1)^5-'DCF Valuation'!$C$36+'DCF Valuation'!$C$37)/WACC!$C$21</f>
        <v>647.06802356461014</v>
      </c>
      <c r="F14" s="99">
        <f>(SUMPRODUCT('DCF Valuation'!$C$17:$G$17,1/(1+0.1)^('DCF Valuation'!$C$19:$G$19))+('DCF Valuation'!$G$17*(1+0.035)/(0.1-0.035))/(1+0.1)^5-'DCF Valuation'!$C$36+'DCF Valuation'!$C$37)/WACC!$C$21</f>
        <v>690.74235447007584</v>
      </c>
      <c r="G14" s="90">
        <f>(SUMPRODUCT('DCF Valuation'!$C$17:$G$17,1/(1+0.1)^('DCF Valuation'!$C$19:$G$19))+('DCF Valuation'!$G$17*(1+0.04)/(0.1-0.04))/(1+0.1)^5-'DCF Valuation'!$C$36+'DCF Valuation'!$C$37)/WACC!$C$21</f>
        <v>741.69574052645248</v>
      </c>
    </row>
    <row r="17" spans="2:8" ht="15.75">
      <c r="B17" s="11" t="s">
        <v>130</v>
      </c>
    </row>
    <row r="19" spans="2:8" ht="15.75">
      <c r="B19" s="100" t="s">
        <v>131</v>
      </c>
      <c r="C19" s="107">
        <v>0.04</v>
      </c>
      <c r="D19" s="107">
        <v>4.4999999999999998E-2</v>
      </c>
      <c r="E19" s="107">
        <v>0.05</v>
      </c>
      <c r="F19" s="107">
        <v>5.5E-2</v>
      </c>
      <c r="G19" s="107">
        <v>0.06</v>
      </c>
    </row>
    <row r="20" spans="2:8">
      <c r="B20" s="98">
        <v>0.35</v>
      </c>
      <c r="C20" s="83">
        <f>(SUMPRODUCT('DCF Valuation'!$C$17:$G$17,1/(1+(WACC!$C$25*(WACC!$C$7+0.35*0.04)+WACC!$C$26*WACC!$C$16))^('DCF Valuation'!$C$19:$G$19))+('DCF Valuation'!$G$17*(1+0.03)/((WACC!$C$25*(WACC!$C$7+0.35*0.04)+WACC!$C$26*WACC!$C$16)-0.03))/(1+(WACC!$C$25*(WACC!$C$7+0.35*0.04)+WACC!$C$26*WACC!$C$16))^5-'DCF Valuation'!$C$36+'DCF Valuation'!$C$37)/WACC!$C$21</f>
        <v>1609.1297126985485</v>
      </c>
      <c r="D20" s="82">
        <f>(SUMPRODUCT('DCF Valuation'!$C$17:$G$17,1/(1+(WACC!$C$25*(WACC!$C$7+0.35*0.045)+WACC!$C$26*WACC!$C$16))^('DCF Valuation'!$C$19:$G$19))+('DCF Valuation'!$G$17*(1+0.03)/((WACC!$C$25*(WACC!$C$7+0.35*0.045)+WACC!$C$26*WACC!$C$16)-0.03))/(1+(WACC!$C$25*(WACC!$C$7+0.35*0.045)+WACC!$C$26*WACC!$C$16))^5-'DCF Valuation'!$C$36+'DCF Valuation'!$C$37)/WACC!$C$21</f>
        <v>1519.7539674819575</v>
      </c>
      <c r="E20" s="82">
        <f>(SUMPRODUCT('DCF Valuation'!$C$17:$G$17,1/(1+(WACC!$C$25*(WACC!$C$7+0.35*0.05)+WACC!$C$26*WACC!$C$16))^('DCF Valuation'!$C$19:$G$19))+('DCF Valuation'!$G$17*(1+0.03)/((WACC!$C$25*(WACC!$C$7+0.35*0.05)+WACC!$C$26*WACC!$C$16)-0.03))/(1+(WACC!$C$25*(WACC!$C$7+0.35*0.05)+WACC!$C$26*WACC!$C$16))^5-'DCF Valuation'!$C$36+'DCF Valuation'!$C$37)/WACC!$C$21</f>
        <v>1439.316485602945</v>
      </c>
      <c r="F20" s="102">
        <f>(SUMPRODUCT('DCF Valuation'!$C$17:$G$17,1/(1+(WACC!$C$25*(WACC!$C$7+0.35*0.055)+WACC!$C$26*WACC!$C$16))^('DCF Valuation'!$C$19:$G$19))+('DCF Valuation'!$G$17*(1+0.03)/((WACC!$C$25*(WACC!$C$7+0.35*0.055)+WACC!$C$26*WACC!$C$16)-0.03))/(1+(WACC!$C$25*(WACC!$C$7+0.35*0.055)+WACC!$C$26*WACC!$C$16))^5-'DCF Valuation'!$C$36+'DCF Valuation'!$C$37)/WACC!$C$21</f>
        <v>1366.5423057198357</v>
      </c>
      <c r="G20" s="84">
        <f>(SUMPRODUCT('DCF Valuation'!$C$17:$G$17,1/(1+(WACC!$C$25*(WACC!$C$7+0.35*0.06)+WACC!$C$26*WACC!$C$16))^('DCF Valuation'!$C$19:$G$19))+('DCF Valuation'!$G$17*(1+0.03)/((WACC!$C$25*(WACC!$C$7+0.35*0.06)+WACC!$C$26*WACC!$C$16)-0.03))/(1+(WACC!$C$25*(WACC!$C$7+0.35*0.06)+WACC!$C$26*WACC!$C$16))^5-'DCF Valuation'!$C$36+'DCF Valuation'!$C$37)/WACC!$C$21</f>
        <v>1300.3879226705585</v>
      </c>
    </row>
    <row r="21" spans="2:8">
      <c r="B21" s="96">
        <v>0.45</v>
      </c>
      <c r="C21" s="86">
        <f>(SUMPRODUCT('DCF Valuation'!$C$17:$G$17,1/(1+(WACC!$C$25*(WACC!$C$7+0.45*0.04)+WACC!$C$26*WACC!$C$16))^('DCF Valuation'!$C$19:$G$19))+('DCF Valuation'!$G$17*(1+0.03)/((WACC!$C$25*(WACC!$C$7+0.45*0.04)+WACC!$C$26*WACC!$C$16)-0.03))/(1+(WACC!$C$25*(WACC!$C$7+0.45*0.04)+WACC!$C$26*WACC!$C$16))^5-'DCF Valuation'!$C$36+'DCF Valuation'!$C$37)/WACC!$C$21</f>
        <v>1417.7913775460522</v>
      </c>
      <c r="D21" s="85">
        <f>(SUMPRODUCT('DCF Valuation'!$C$17:$G$17,1/(1+(WACC!$C$25*(WACC!$C$7+0.45*0.045)+WACC!$C$26*WACC!$C$16))^('DCF Valuation'!$C$19:$G$19))+('DCF Valuation'!$G$17*(1+0.03)/((WACC!$C$25*(WACC!$C$7+0.45*0.045)+WACC!$C$26*WACC!$C$16)-0.03))/(1+(WACC!$C$25*(WACC!$C$7+0.45*0.045)+WACC!$C$26*WACC!$C$16))^5-'DCF Valuation'!$C$36+'DCF Valuation'!$C$37)/WACC!$C$21</f>
        <v>1327.9881781117504</v>
      </c>
      <c r="E21" s="85">
        <f>(SUMPRODUCT('DCF Valuation'!$C$17:$G$17,1/(1+(WACC!$C$25*(WACC!$C$7+0.45*0.05)+WACC!$C$26*WACC!$C$16))^('DCF Valuation'!$C$19:$G$19))+('DCF Valuation'!$G$17*(1+0.03)/((WACC!$C$25*(WACC!$C$7+0.45*0.05)+WACC!$C$26*WACC!$C$16)-0.03))/(1+(WACC!$C$25*(WACC!$C$7+0.45*0.05)+WACC!$C$26*WACC!$C$16))^5-'DCF Valuation'!$C$36+'DCF Valuation'!$C$37)/WACC!$C$21</f>
        <v>1248.2952723442029</v>
      </c>
      <c r="F21" s="103">
        <f>(SUMPRODUCT('DCF Valuation'!$C$17:$G$17,1/(1+(WACC!$C$25*(WACC!$C$7+0.45*0.055)+WACC!$C$26*WACC!$C$16))^('DCF Valuation'!$C$19:$G$19))+('DCF Valuation'!$G$17*(1+0.03)/((WACC!$C$25*(WACC!$C$7+0.45*0.055)+WACC!$C$26*WACC!$C$16)-0.03))/(1+(WACC!$C$25*(WACC!$C$7+0.45*0.055)+WACC!$C$26*WACC!$C$16))^5-'DCF Valuation'!$C$36+'DCF Valuation'!$C$37)/WACC!$C$21</f>
        <v>1177.0994490852368</v>
      </c>
      <c r="G21" s="87">
        <f>(SUMPRODUCT('DCF Valuation'!$C$17:$G$17,1/(1+(WACC!$C$25*(WACC!$C$7+0.45*0.06)+WACC!$C$26*WACC!$C$16))^('DCF Valuation'!$C$19:$G$19))+('DCF Valuation'!$G$17*(1+0.03)/((WACC!$C$25*(WACC!$C$7+0.45*0.06)+WACC!$C$26*WACC!$C$16)-0.03))/(1+(WACC!$C$25*(WACC!$C$7+0.45*0.06)+WACC!$C$26*WACC!$C$16))^5-'DCF Valuation'!$C$36+'DCF Valuation'!$C$37)/WACC!$C$21</f>
        <v>1113.1133334913245</v>
      </c>
    </row>
    <row r="22" spans="2:8">
      <c r="B22" s="96">
        <v>0.51</v>
      </c>
      <c r="C22" s="86">
        <f>(SUMPRODUCT('DCF Valuation'!$C$17:$G$17,1/(1+(WACC!$C$25*(WACC!$C$7+0.51*0.04)+WACC!$C$26*WACC!$C$16))^('DCF Valuation'!$C$19:$G$19))+('DCF Valuation'!$G$17*(1+0.03)/((WACC!$C$25*(WACC!$C$7+0.51*0.04)+WACC!$C$26*WACC!$C$16)-0.03))/(1+(WACC!$C$25*(WACC!$C$7+0.51*0.04)+WACC!$C$26*WACC!$C$16))^5-'DCF Valuation'!$C$36+'DCF Valuation'!$C$37)/WACC!$C$21</f>
        <v>1322.3806651434575</v>
      </c>
      <c r="D22" s="85">
        <f>(SUMPRODUCT('DCF Valuation'!$C$17:$G$17,1/(1+(WACC!$C$25*(WACC!$C$7+0.51*0.045)+WACC!$C$26*WACC!$C$16))^('DCF Valuation'!$C$19:$G$19))+('DCF Valuation'!$G$17*(1+0.03)/((WACC!$C$25*(WACC!$C$7+0.51*0.045)+WACC!$C$26*WACC!$C$16)-0.03))/(1+(WACC!$C$25*(WACC!$C$7+0.51*0.045)+WACC!$C$26*WACC!$C$16))^5-'DCF Valuation'!$C$36+'DCF Valuation'!$C$37)/WACC!$C$21</f>
        <v>1233.4216557882264</v>
      </c>
      <c r="E22" s="106">
        <f>(SUMPRODUCT('DCF Valuation'!$C$17:$G$17,1/(1+(WACC!$C$25*(WACC!$C$7+0.51*0.05)+WACC!$C$26*WACC!$C$16))^('DCF Valuation'!$C$19:$G$19))+('DCF Valuation'!$G$17*(1+0.03)/((WACC!$C$25*(WACC!$C$7+0.51*0.05)+WACC!$C$26*WACC!$C$16)-0.03))/(1+(WACC!$C$25*(WACC!$C$7+0.51*0.05)+WACC!$C$26*WACC!$C$16))^5-'DCF Valuation'!$C$36+'DCF Valuation'!$C$37)/WACC!$C$21</f>
        <v>1155.0254879747895</v>
      </c>
      <c r="F22" s="103">
        <f>(SUMPRODUCT('DCF Valuation'!$C$17:$G$17,1/(1+(WACC!$C$25*(WACC!$C$7+0.51*0.055)+WACC!$C$26*WACC!$C$16))^('DCF Valuation'!$C$19:$G$19))+('DCF Valuation'!$G$17*(1+0.03)/((WACC!$C$25*(WACC!$C$7+0.51*0.055)+WACC!$C$26*WACC!$C$16)-0.03))/(1+(WACC!$C$25*(WACC!$C$7+0.51*0.055)+WACC!$C$26*WACC!$C$16))^5-'DCF Valuation'!$C$36+'DCF Valuation'!$C$37)/WACC!$C$21</f>
        <v>1085.4201743975796</v>
      </c>
      <c r="G22" s="87">
        <f>(SUMPRODUCT('DCF Valuation'!$C$17:$G$17,1/(1+(WACC!$C$25*(WACC!$C$7+0.51*0.06)+WACC!$C$26*WACC!$C$16))^('DCF Valuation'!$C$19:$G$19))+('DCF Valuation'!$G$17*(1+0.03)/((WACC!$C$25*(WACC!$C$7+0.51*0.06)+WACC!$C$26*WACC!$C$16)-0.03))/(1+(WACC!$C$25*(WACC!$C$7+0.51*0.06)+WACC!$C$26*WACC!$C$16))^5-'DCF Valuation'!$C$36+'DCF Valuation'!$C$37)/WACC!$C$21</f>
        <v>1023.2090339462941</v>
      </c>
    </row>
    <row r="23" spans="2:8">
      <c r="B23" s="96">
        <v>0.65</v>
      </c>
      <c r="C23" s="86">
        <f>(SUMPRODUCT('DCF Valuation'!$C$17:$G$17,1/(1+(WACC!$C$25*(WACC!$C$7+0.65*0.04)+WACC!$C$26*WACC!$C$16))^('DCF Valuation'!$C$19:$G$19))+('DCF Valuation'!$G$17*(1+0.03)/((WACC!$C$25*(WACC!$C$7+0.65*0.04)+WACC!$C$26*WACC!$C$16)-0.03))/(1+(WACC!$C$25*(WACC!$C$7+0.65*0.04)+WACC!$C$26*WACC!$C$16))^5-'DCF Valuation'!$C$36+'DCF Valuation'!$C$37)/WACC!$C$21</f>
        <v>1140.7330518694419</v>
      </c>
      <c r="D23" s="85">
        <f>(SUMPRODUCT('DCF Valuation'!$C$17:$G$17,1/(1+(WACC!$C$25*(WACC!$C$7+0.65*0.045)+WACC!$C$26*WACC!$C$16))^('DCF Valuation'!$C$19:$G$19))+('DCF Valuation'!$G$17*(1+0.03)/((WACC!$C$25*(WACC!$C$7+0.65*0.045)+WACC!$C$26*WACC!$C$16)-0.03))/(1+(WACC!$C$25*(WACC!$C$7+0.65*0.045)+WACC!$C$26*WACC!$C$16))^5-'DCF Valuation'!$C$36+'DCF Valuation'!$C$37)/WACC!$C$21</f>
        <v>1055.2970764159527</v>
      </c>
      <c r="E23" s="85">
        <f>(SUMPRODUCT('DCF Valuation'!$C$17:$G$17,1/(1+(WACC!$C$25*(WACC!$C$7+0.65*0.05)+WACC!$C$26*WACC!$C$16))^('DCF Valuation'!$C$19:$G$19))+('DCF Valuation'!$G$17*(1+0.03)/((WACC!$C$25*(WACC!$C$7+0.65*0.05)+WACC!$C$26*WACC!$C$16)-0.03))/(1+(WACC!$C$25*(WACC!$C$7+0.65*0.05)+WACC!$C$26*WACC!$C$16))^5-'DCF Valuation'!$C$36+'DCF Valuation'!$C$37)/WACC!$C$21</f>
        <v>980.99047689419376</v>
      </c>
      <c r="F23" s="103">
        <f>(SUMPRODUCT('DCF Valuation'!$C$17:$G$17,1/(1+(WACC!$C$25*(WACC!$C$7+0.65*0.055)+WACC!$C$26*WACC!$C$16))^('DCF Valuation'!$C$19:$G$19))+('DCF Valuation'!$G$17*(1+0.03)/((WACC!$C$25*(WACC!$C$7+0.65*0.055)+WACC!$C$26*WACC!$C$16)-0.03))/(1+(WACC!$C$25*(WACC!$C$7+0.65*0.055)+WACC!$C$26*WACC!$C$16))^5-'DCF Valuation'!$C$36+'DCF Valuation'!$C$37)/WACC!$C$21</f>
        <v>915.77724892212245</v>
      </c>
      <c r="G23" s="87">
        <f>(SUMPRODUCT('DCF Valuation'!$C$17:$G$17,1/(1+(WACC!$C$25*(WACC!$C$7+0.65*0.06)+WACC!$C$26*WACC!$C$16))^('DCF Valuation'!$C$19:$G$19))+('DCF Valuation'!$G$17*(1+0.03)/((WACC!$C$25*(WACC!$C$7+0.65*0.06)+WACC!$C$26*WACC!$C$16)-0.03))/(1+(WACC!$C$25*(WACC!$C$7+0.65*0.06)+WACC!$C$26*WACC!$C$16))^5-'DCF Valuation'!$C$36+'DCF Valuation'!$C$37)/WACC!$C$21</f>
        <v>858.089367104703</v>
      </c>
    </row>
    <row r="24" spans="2:8">
      <c r="B24" s="96">
        <v>0.8</v>
      </c>
      <c r="C24" s="86">
        <f>(SUMPRODUCT('DCF Valuation'!$C$17:$G$17,1/(1+(WACC!$C$25*(WACC!$C$7+0.8*0.04)+WACC!$C$26*WACC!$C$16))^('DCF Valuation'!$C$19:$G$19))+('DCF Valuation'!$G$17*(1+0.03)/((WACC!$C$25*(WACC!$C$7+0.8*0.04)+WACC!$C$26*WACC!$C$16)-0.03))/(1+(WACC!$C$25*(WACC!$C$7+0.8*0.04)+WACC!$C$26*WACC!$C$16))^5-'DCF Valuation'!$C$36+'DCF Valuation'!$C$37)/WACC!$C$21</f>
        <v>991.78558643046097</v>
      </c>
      <c r="D24" s="85">
        <f>(SUMPRODUCT('DCF Valuation'!$C$17:$G$17,1/(1+(WACC!$C$25*(WACC!$C$7+0.8*0.045)+WACC!$C$26*WACC!$C$16))^('DCF Valuation'!$C$19:$G$19))+('DCF Valuation'!$G$17*(1+0.03)/((WACC!$C$25*(WACC!$C$7+0.8*0.045)+WACC!$C$26*WACC!$C$16)-0.03))/(1+(WACC!$C$25*(WACC!$C$7+0.8*0.045)+WACC!$C$26*WACC!$C$16))^5-'DCF Valuation'!$C$36+'DCF Valuation'!$C$37)/WACC!$C$21</f>
        <v>911.09001282886675</v>
      </c>
      <c r="E24" s="85">
        <f>(SUMPRODUCT('DCF Valuation'!$C$17:$G$17,1/(1+(WACC!$C$25*(WACC!$C$7+0.8*0.05)+WACC!$C$26*WACC!$C$16))^('DCF Valuation'!$C$19:$G$19))+('DCF Valuation'!$G$17*(1+0.03)/((WACC!$C$25*(WACC!$C$7+0.8*0.05)+WACC!$C$26*WACC!$C$16)-0.03))/(1+(WACC!$C$25*(WACC!$C$7+0.8*0.05)+WACC!$C$26*WACC!$C$16))^5-'DCF Valuation'!$C$36+'DCF Valuation'!$C$37)/WACC!$C$21</f>
        <v>841.65588410291991</v>
      </c>
      <c r="F24" s="103">
        <f>(SUMPRODUCT('DCF Valuation'!$C$17:$G$17,1/(1+(WACC!$C$25*(WACC!$C$7+0.8*0.055)+WACC!$C$26*WACC!$C$16))^('DCF Valuation'!$C$19:$G$19))+('DCF Valuation'!$G$17*(1+0.03)/((WACC!$C$25*(WACC!$C$7+0.8*0.055)+WACC!$C$26*WACC!$C$16)-0.03))/(1+(WACC!$C$25*(WACC!$C$7+0.8*0.055)+WACC!$C$26*WACC!$C$16))^5-'DCF Valuation'!$C$36+'DCF Valuation'!$C$37)/WACC!$C$21</f>
        <v>781.28719060980768</v>
      </c>
      <c r="G24" s="87">
        <f>(SUMPRODUCT('DCF Valuation'!$C$17:$G$17,1/(1+(WACC!$C$25*(WACC!$C$7+0.8*0.06)+WACC!$C$26*WACC!$C$16))^('DCF Valuation'!$C$19:$G$19))+('DCF Valuation'!$G$17*(1+0.03)/((WACC!$C$25*(WACC!$C$7+0.8*0.06)+WACC!$C$26*WACC!$C$16)-0.03))/(1+(WACC!$C$25*(WACC!$C$7+0.8*0.06)+WACC!$C$26*WACC!$C$16))^5-'DCF Valuation'!$C$36+'DCF Valuation'!$C$37)/WACC!$C$21</f>
        <v>728.32388375353469</v>
      </c>
    </row>
    <row r="25" spans="2:8">
      <c r="B25" s="97">
        <v>0.95</v>
      </c>
      <c r="C25" s="89">
        <f>(SUMPRODUCT('DCF Valuation'!$C$17:$G$17,1/(1+(WACC!$C$25*(WACC!$C$7+0.95*0.04)+WACC!$C$26*WACC!$C$16))^('DCF Valuation'!$C$19:$G$19))+('DCF Valuation'!$G$17*(1+0.03)/((WACC!$C$25*(WACC!$C$7+0.95*0.04)+WACC!$C$26*WACC!$C$16)-0.03))/(1+(WACC!$C$25*(WACC!$C$7+0.95*0.04)+WACC!$C$26*WACC!$C$16))^5-'DCF Valuation'!$C$36+'DCF Valuation'!$C$37)/WACC!$C$21</f>
        <v>875.11734098776799</v>
      </c>
      <c r="D25" s="88">
        <f>(SUMPRODUCT('DCF Valuation'!$C$17:$G$17,1/(1+(WACC!$C$25*(WACC!$C$7+0.95*0.045)+WACC!$C$26*WACC!$C$16))^('DCF Valuation'!$C$19:$G$19))+('DCF Valuation'!$G$17*(1+0.03)/((WACC!$C$25*(WACC!$C$7+0.95*0.045)+WACC!$C$26*WACC!$C$16)-0.03))/(1+(WACC!$C$25*(WACC!$C$7+0.95*0.045)+WACC!$C$26*WACC!$C$16))^5-'DCF Valuation'!$C$36+'DCF Valuation'!$C$37)/WACC!$C$21</f>
        <v>799.28762168202184</v>
      </c>
      <c r="E25" s="88">
        <f>(SUMPRODUCT('DCF Valuation'!$C$17:$G$17,1/(1+(WACC!$C$25*(WACC!$C$7+0.95*0.05)+WACC!$C$26*WACC!$C$16))^('DCF Valuation'!$C$19:$G$19))+('DCF Valuation'!$G$17*(1+0.03)/((WACC!$C$25*(WACC!$C$7+0.95*0.05)+WACC!$C$26*WACC!$C$16)-0.03))/(1+(WACC!$C$25*(WACC!$C$7+0.95*0.05)+WACC!$C$26*WACC!$C$16))^5-'DCF Valuation'!$C$36+'DCF Valuation'!$C$37)/WACC!$C$21</f>
        <v>734.58602512026164</v>
      </c>
      <c r="F25" s="99">
        <f>(SUMPRODUCT('DCF Valuation'!$C$17:$G$17,1/(1+(WACC!$C$25*(WACC!$C$7+0.95*0.055)+WACC!$C$26*WACC!$C$16))^('DCF Valuation'!$C$19:$G$19))+('DCF Valuation'!$G$17*(1+0.03)/((WACC!$C$25*(WACC!$C$7+0.95*0.055)+WACC!$C$26*WACC!$C$16)-0.03))/(1+(WACC!$C$25*(WACC!$C$7+0.95*0.055)+WACC!$C$26*WACC!$C$16))^5-'DCF Valuation'!$C$36+'DCF Valuation'!$C$37)/WACC!$C$21</f>
        <v>678.73990155776335</v>
      </c>
      <c r="G25" s="90">
        <f>(SUMPRODUCT('DCF Valuation'!$C$17:$G$17,1/(1+(WACC!$C$25*(WACC!$C$7+0.95*0.06)+WACC!$C$26*WACC!$C$16))^('DCF Valuation'!$C$19:$G$19))+('DCF Valuation'!$G$17*(1+0.03)/((WACC!$C$25*(WACC!$C$7+0.95*0.06)+WACC!$C$26*WACC!$C$16)-0.03))/(1+(WACC!$C$25*(WACC!$C$7+0.95*0.06)+WACC!$C$26*WACC!$C$16))^5-'DCF Valuation'!$C$36+'DCF Valuation'!$C$37)/WACC!$C$21</f>
        <v>630.05576919655198</v>
      </c>
    </row>
    <row r="27" spans="2:8" ht="47.25" customHeight="1">
      <c r="B27" s="95" t="s">
        <v>132</v>
      </c>
      <c r="C27" s="81"/>
      <c r="D27" s="81"/>
      <c r="E27" s="81"/>
      <c r="F27" s="81"/>
      <c r="G27" s="81"/>
      <c r="H27" s="81"/>
    </row>
    <row r="28" spans="2:8" ht="101.25" customHeight="1">
      <c r="B28" s="108" t="s">
        <v>133</v>
      </c>
      <c r="C28" s="3"/>
      <c r="D28" s="3"/>
      <c r="E28" s="3"/>
      <c r="F28" s="3"/>
      <c r="G28" s="3"/>
      <c r="H28" s="3"/>
    </row>
    <row r="38" spans="2:2">
      <c r="B38" s="80"/>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D32"/>
  <sheetViews>
    <sheetView tabSelected="1" topLeftCell="A11" zoomScaleNormal="100" workbookViewId="0">
      <selection activeCell="B17" sqref="B17:D18"/>
    </sheetView>
  </sheetViews>
  <sheetFormatPr defaultColWidth="8.7109375" defaultRowHeight="15"/>
  <cols>
    <col min="1" max="1" width="3" customWidth="1"/>
    <col min="2" max="2" width="61.5703125" customWidth="1"/>
    <col min="3" max="3" width="21.7109375" customWidth="1"/>
    <col min="4" max="4" width="83" customWidth="1"/>
    <col min="5" max="5" width="10.5703125" customWidth="1"/>
  </cols>
  <sheetData>
    <row r="2" spans="2:4" ht="19.7">
      <c r="B2" s="1" t="s">
        <v>134</v>
      </c>
    </row>
    <row r="3" spans="2:4" ht="27">
      <c r="B3" s="79" t="s">
        <v>135</v>
      </c>
    </row>
    <row r="5" spans="2:4" ht="15.75">
      <c r="B5" s="11" t="s">
        <v>136</v>
      </c>
    </row>
    <row r="6" spans="2:4">
      <c r="B6" s="33" t="s">
        <v>137</v>
      </c>
      <c r="C6" s="37" t="s">
        <v>138</v>
      </c>
    </row>
    <row r="7" spans="2:4">
      <c r="B7" s="34" t="s">
        <v>139</v>
      </c>
      <c r="C7" s="116">
        <f>'Sensitivity Analysis'!C12</f>
        <v>777.82565450162474</v>
      </c>
    </row>
    <row r="8" spans="2:4">
      <c r="B8" s="34" t="s">
        <v>140</v>
      </c>
      <c r="C8" s="116">
        <f>'Sensitivity Analysis'!E11</f>
        <v>1154.6560264610689</v>
      </c>
    </row>
    <row r="9" spans="2:4">
      <c r="B9" s="34" t="s">
        <v>141</v>
      </c>
      <c r="C9" s="116">
        <f>'Sensitivity Analysis'!G10</f>
        <v>2233.6873192979551</v>
      </c>
    </row>
    <row r="10" spans="2:4">
      <c r="B10" s="34" t="s">
        <v>142</v>
      </c>
      <c r="C10" s="116">
        <f>'Trading Comps'!C29</f>
        <v>544.03905891851878</v>
      </c>
    </row>
    <row r="11" spans="2:4">
      <c r="B11" s="34" t="s">
        <v>143</v>
      </c>
      <c r="C11" s="117">
        <v>685.15</v>
      </c>
      <c r="D11" s="2"/>
    </row>
    <row r="12" spans="2:4">
      <c r="B12" s="34" t="s">
        <v>144</v>
      </c>
      <c r="C12" s="117">
        <v>1249.45</v>
      </c>
      <c r="D12" s="2"/>
    </row>
    <row r="13" spans="2:4">
      <c r="B13" s="34" t="s">
        <v>145</v>
      </c>
      <c r="C13" s="117">
        <v>1305</v>
      </c>
      <c r="D13" s="2"/>
    </row>
    <row r="14" spans="2:4">
      <c r="B14" s="115" t="s">
        <v>44</v>
      </c>
      <c r="C14" s="118">
        <f>WACC!$C$20</f>
        <v>1180.1600000000001</v>
      </c>
      <c r="D14" s="2"/>
    </row>
    <row r="15" spans="2:4">
      <c r="B15" s="128"/>
      <c r="C15" s="114"/>
    </row>
    <row r="16" spans="2:4" ht="15.75">
      <c r="B16" s="11" t="s">
        <v>146</v>
      </c>
      <c r="C16" s="114"/>
    </row>
    <row r="17" spans="2:4">
      <c r="B17" s="7" t="s">
        <v>147</v>
      </c>
      <c r="C17" s="52">
        <v>0.85</v>
      </c>
      <c r="D17" s="7" t="s">
        <v>148</v>
      </c>
    </row>
    <row r="18" spans="2:4">
      <c r="B18" s="7" t="s">
        <v>149</v>
      </c>
      <c r="C18" s="52">
        <v>0.15</v>
      </c>
      <c r="D18" s="7" t="s">
        <v>150</v>
      </c>
    </row>
    <row r="19" spans="2:4">
      <c r="C19" s="114"/>
    </row>
    <row r="20" spans="2:4" ht="66.75" customHeight="1">
      <c r="B20" s="79" t="s">
        <v>151</v>
      </c>
      <c r="C20" s="2"/>
      <c r="D20" s="2"/>
    </row>
    <row r="22" spans="2:4" ht="15.75">
      <c r="B22" s="123" t="s">
        <v>152</v>
      </c>
      <c r="C22" s="124">
        <f>C8*C17+C10*C18</f>
        <v>1063.0634813296863</v>
      </c>
    </row>
    <row r="23" spans="2:4">
      <c r="B23" s="119" t="s">
        <v>153</v>
      </c>
      <c r="C23" s="120">
        <f>C22/C14-1</f>
        <v>-9.9220884176987711E-2</v>
      </c>
    </row>
    <row r="26" spans="2:4" ht="15.75">
      <c r="B26" s="113" t="s">
        <v>154</v>
      </c>
    </row>
    <row r="27" spans="2:4" ht="18.75">
      <c r="B27" s="121" t="s">
        <v>155</v>
      </c>
      <c r="C27" s="122" t="str">
        <f>IF(C23&gt;0.1,"BUY",IF(C23&lt;-0.1,"SELL","HOLD"))</f>
        <v>HOLD</v>
      </c>
    </row>
    <row r="29" spans="2:4" ht="15.75">
      <c r="B29" s="11" t="s">
        <v>156</v>
      </c>
    </row>
    <row r="30" spans="2:4" ht="68.25" customHeight="1">
      <c r="B30" s="110" t="s">
        <v>157</v>
      </c>
      <c r="C30" s="109"/>
      <c r="D30" s="109"/>
    </row>
    <row r="31" spans="2:4" ht="65.25" customHeight="1">
      <c r="B31" s="111" t="s">
        <v>158</v>
      </c>
      <c r="C31" s="109"/>
      <c r="D31" s="109"/>
    </row>
    <row r="32" spans="2:4" ht="62.25" customHeight="1">
      <c r="B32" s="112" t="s">
        <v>159</v>
      </c>
      <c r="C32" s="109"/>
      <c r="D32" s="109"/>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2026-08-19T01:33:00Z</dcterms:created>
  <dcterms:modified xsi:type="dcterms:W3CDTF">2026-08-20T05:07:31Z</dcterms:modified>
  <cp:category/>
  <cp:contentStatus/>
</cp:coreProperties>
</file>