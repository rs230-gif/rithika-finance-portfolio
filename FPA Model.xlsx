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&amp; Sources" sheetId="1" r:id="rId4"/>
    <sheet state="visible" name="Income Statement" sheetId="2" r:id="rId5"/>
    <sheet state="visible" name="Balance Sheet" sheetId="3" r:id="rId6"/>
    <sheet state="visible" name="Cash Flow" sheetId="4" r:id="rId7"/>
    <sheet state="visible" name="Working Capital &amp; KPIs" sheetId="5" r:id="rId8"/>
    <sheet state="visible" name="Revenue by Product" sheetId="6" r:id="rId9"/>
    <sheet state="visible" name="Forecast Assumptions" sheetId="7" r:id="rId10"/>
    <sheet state="visible" name="Forecast Income Statement" sheetId="8" r:id="rId11"/>
    <sheet state="visible" name="Forecast Balance Sheet" sheetId="9" r:id="rId12"/>
    <sheet state="visible" name="Forecast Cash Flow" sheetId="10" r:id="rId13"/>
    <sheet state="visible" name="Budget vs Actual &amp; Variance" sheetId="11" r:id="rId14"/>
    <sheet state="visible" name="KPI Dashboard" sheetId="12" r:id="rId15"/>
    <sheet state="visible" name="Scenario Analysis" sheetId="13" r:id="rId16"/>
  </sheets>
  <externalReferences>
    <externalReference r:id="rId17"/>
  </externalReferences>
  <definedNames/>
  <calcPr/>
  <extLst>
    <ext uri="GoogleSheetsCustomDataVersion2">
      <go:sheetsCustomData xmlns:go="http://customooxmlschemas.google.com/" r:id="rId18" roundtripDataChecksum="c801BKii9ryNqiUpWBcpZ6ZHUbTauauZxBhrgOzv+2c="/>
    </ext>
  </extLst>
</workbook>
</file>

<file path=xl/sharedStrings.xml><?xml version="1.0" encoding="utf-8"?>
<sst xmlns="http://schemas.openxmlformats.org/spreadsheetml/2006/main" count="329" uniqueCount="248">
  <si>
    <t>Eli Lilly and Company - Consolidated Cash Flow Statement</t>
  </si>
  <si>
    <t>Eli Lilly and Company - Consolidated Balance Sheet</t>
  </si>
  <si>
    <t>Eli Lilly and Company (NYSE: LLY)</t>
  </si>
  <si>
    <t>Eli Lilly and Company - Consolidated Income Statement</t>
  </si>
  <si>
    <t>$ in millions | FY ends Dec 31 | Source: SEC 10-K filings (see Cover &amp; Sources)</t>
  </si>
  <si>
    <t>FP&amp;A / 3-Statement Financial Model — Historical Phase (FY2021–FY2025)</t>
  </si>
  <si>
    <t>$ in millions, except per-share data | FY ends Dec 31 | Source: SEC 10-K filings (see Cover &amp; Sources)</t>
  </si>
  <si>
    <t>$ in millions | As of Dec 31 | Source: SEC 10-K filings (see Cover &amp; Sources)</t>
  </si>
  <si>
    <t>Item</t>
  </si>
  <si>
    <r>
      <rPr>
        <rFont val="Calibri"/>
        <color rgb="FF595959"/>
        <sz val="11.0"/>
      </rPr>
      <t>Prepared as a</t>
    </r>
    <r>
      <rPr>
        <rFont val="Calibri"/>
        <b/>
        <color rgb="FF595959"/>
        <sz val="11.0"/>
      </rPr>
      <t xml:space="preserve"> self-directed</t>
    </r>
    <r>
      <rPr>
        <rFont val="Calibri"/>
        <color rgb="FF595959"/>
        <sz val="11.0"/>
      </rPr>
      <t xml:space="preserve"> portfolio project </t>
    </r>
  </si>
  <si>
    <t>IMPORTANT NOTE ON SEGMENTS</t>
  </si>
  <si>
    <t>FY2021</t>
  </si>
  <si>
    <t>FY2022</t>
  </si>
  <si>
    <t>FY2023</t>
  </si>
  <si>
    <t>FY2024</t>
  </si>
  <si>
    <t>FY2025</t>
  </si>
  <si>
    <t xml:space="preserve">Eli Lilly operates and reports as a single business segment ("human pharmaceutical products"). There is no multi-segment revenue breakdown to report. </t>
  </si>
  <si>
    <t>PRIMARY SOURCE</t>
  </si>
  <si>
    <t>OPERATING ACTIVITIES</t>
  </si>
  <si>
    <t>Eli Lilly and Company Form 10-K, fiscal year ended Dec 31, 2025.</t>
  </si>
  <si>
    <t>ASSETS</t>
  </si>
  <si>
    <t>Filed with SEC on Feb 12, 2026 | SEC EDGAR CIK 0000059478</t>
  </si>
  <si>
    <t>Total Revenue</t>
  </si>
  <si>
    <t>https://www.sec.gov/Archives/edgar/data/59478/000005947826000013/lly-20251231.htm</t>
  </si>
  <si>
    <t>Net Income</t>
  </si>
  <si>
    <t>Cash &amp; Short-Term Investments</t>
  </si>
  <si>
    <t>AGGREGATED HISTORICAL DATA</t>
  </si>
  <si>
    <t>Five-year line item detail (income statement, balance sheet, cash flow, product revenue) was compiled via StockAnalysis.com which sources its data from the same SEC 10-K filings.</t>
  </si>
  <si>
    <t>Revenue Growth %</t>
  </si>
  <si>
    <t>Income Statement</t>
  </si>
  <si>
    <t>n/a</t>
  </si>
  <si>
    <t>https://stockanalysis.com/stocks/lly/financials/</t>
  </si>
  <si>
    <t>Accounts &amp; Trade Receivables</t>
  </si>
  <si>
    <t>Depreciation &amp; Amortization</t>
  </si>
  <si>
    <t>Inventory</t>
  </si>
  <si>
    <t>Stock-Based Compensation</t>
  </si>
  <si>
    <t>Other Current Assets</t>
  </si>
  <si>
    <t>Other Adjustments</t>
  </si>
  <si>
    <t>TOTAL CURRENT ASSETS</t>
  </si>
  <si>
    <t>Change in Receivables</t>
  </si>
  <si>
    <t>Change in Inventories</t>
  </si>
  <si>
    <t>Change in Accounts Payable</t>
  </si>
  <si>
    <t>Change in Other Operating Items</t>
  </si>
  <si>
    <t>Balance Sheet</t>
  </si>
  <si>
    <t>https://stockanalysis.com/stocks/lly/financials/balance-sheet/</t>
  </si>
  <si>
    <t>OPERATING CASH FLOW</t>
  </si>
  <si>
    <t>Cash Flow Statement</t>
  </si>
  <si>
    <t>https://stockanalysis.com/stocks/lly/financials/cash-flow-statement/</t>
  </si>
  <si>
    <t>Product Revenue (KPIs)</t>
  </si>
  <si>
    <t>Cost of Sales (COGS)</t>
  </si>
  <si>
    <t>Net PP&amp;E</t>
  </si>
  <si>
    <t>Goodwill</t>
  </si>
  <si>
    <t>Other Intangible Assets</t>
  </si>
  <si>
    <t>Long-Term Investments</t>
  </si>
  <si>
    <t>Gross Profit</t>
  </si>
  <si>
    <t>Other Long-Term Assets</t>
  </si>
  <si>
    <t>Gross Margin %</t>
  </si>
  <si>
    <t>TOTAL ASSETS</t>
  </si>
  <si>
    <t>INVESTING ACTIVITIES</t>
  </si>
  <si>
    <t>Capital Expenditures</t>
  </si>
  <si>
    <t>Purchases of Intangible Assets</t>
  </si>
  <si>
    <t>Proceeds from Sale of Intangibles</t>
  </si>
  <si>
    <t>Net Purchases/Sales of Investments</t>
  </si>
  <si>
    <t>Cash Acquisitions</t>
  </si>
  <si>
    <t>R&amp;D + SG&amp;A (combined OpEx)</t>
  </si>
  <si>
    <t>LIABILITIES</t>
  </si>
  <si>
    <t>Other Investing Activities</t>
  </si>
  <si>
    <t>INVESTING CASH FLOW</t>
  </si>
  <si>
    <t>Accounts Payable</t>
  </si>
  <si>
    <t>Operating Income</t>
  </si>
  <si>
    <t>Accrued Expenses</t>
  </si>
  <si>
    <t>Short-Term Debt</t>
  </si>
  <si>
    <t>Operating Margin %</t>
  </si>
  <si>
    <t>Other Current Liabilities</t>
  </si>
  <si>
    <t>TOTAL CURRENT LIABILITIES</t>
  </si>
  <si>
    <t>FINANCING ACTIVITIES</t>
  </si>
  <si>
    <t>Net Margin %</t>
  </si>
  <si>
    <t>Long-Term Debt</t>
  </si>
  <si>
    <t>Net Short-Term Debt Issued (Repaid)</t>
  </si>
  <si>
    <t>Other Long-Term Liabilities</t>
  </si>
  <si>
    <t>Net Long-Term Debt Issued (Repaid)</t>
  </si>
  <si>
    <t>TOTAL LIABILITIES</t>
  </si>
  <si>
    <t>Repurchase of Common Stock</t>
  </si>
  <si>
    <t>Common Dividends Paid</t>
  </si>
  <si>
    <t>Diluted EPS</t>
  </si>
  <si>
    <t>Other Financing Activities</t>
  </si>
  <si>
    <t>FINANCING CASH FLOW</t>
  </si>
  <si>
    <t>EQUITY</t>
  </si>
  <si>
    <t>Implied Diluted Shares (M)</t>
  </si>
  <si>
    <t>Total Shareholders' Equity</t>
  </si>
  <si>
    <t>TOTAL LIABILITIES &amp; EQUITY</t>
  </si>
  <si>
    <t>FX &amp; Other</t>
  </si>
  <si>
    <t>NET CHANGE IN CASH</t>
  </si>
  <si>
    <t>Note: R&amp;D and SG&amp;A are disclosed separately in the 10-K income statement (shown combined here as one derived OpEx line.)</t>
  </si>
  <si>
    <t>Balance Check (Assets - Liab&amp;Equity)</t>
  </si>
  <si>
    <t>Capital Expenditures (memo)</t>
  </si>
  <si>
    <t>Free Cash Flow (OCF - CapEx)</t>
  </si>
  <si>
    <t>Eli Lilly and Company - Working Capital &amp; KPI Analysis</t>
  </si>
  <si>
    <t>Derived from Income Statement &amp; Balance Sheet tabs (green = cross-sheet link)</t>
  </si>
  <si>
    <t>Metric</t>
  </si>
  <si>
    <t>Working Capital Efficiency</t>
  </si>
  <si>
    <t>Days Sales Outstanding (DSO)</t>
  </si>
  <si>
    <t>Days Inventory Outstanding (DIO)</t>
  </si>
  <si>
    <t>Eli Lilly and Company - Revenue by Product / Therapeutic Area</t>
  </si>
  <si>
    <t>$ in millions | Lilly is single-segment</t>
  </si>
  <si>
    <t>Product</t>
  </si>
  <si>
    <t>Days Payable Outstanding (DPO)</t>
  </si>
  <si>
    <t>Baqsimi (divested 2023)</t>
  </si>
  <si>
    <t>Eli Lilly - 5-Year Forecast Assumptions (FY2026E–FY2030E)</t>
  </si>
  <si>
    <t>Mounjaro</t>
  </si>
  <si>
    <t>Zepbound</t>
  </si>
  <si>
    <t>Trulicity</t>
  </si>
  <si>
    <t>SOURCING NOTE</t>
  </si>
  <si>
    <t>Eli Lilly-Forecast Income Statement (FY2026E–FY2030E)</t>
  </si>
  <si>
    <t>Jardiance</t>
  </si>
  <si>
    <t>$ in millions | Driven by 'Forecast Assumptions' tab (green) | FY2025A = last actual</t>
  </si>
  <si>
    <t>Humalog</t>
  </si>
  <si>
    <r>
      <rPr>
        <rFont val="Calibri"/>
        <color rgb="FF000000"/>
        <sz val="11.0"/>
      </rPr>
      <t xml:space="preserve">FY2026E is based on Eli Lilly’s latest company guidance. Management raised its revenue guidance twice during 2026 from $80.0-83.0B in February to $82.0–85.0B following Q1 results and subsequently to $85.0–87.0B following Q2 results on August 5, 2026. This model uses the latest guidance midpoint of </t>
    </r>
    <r>
      <rPr>
        <rFont val="Calibri"/>
        <b/>
        <color rgb="FF000000"/>
        <sz val="11.0"/>
      </rPr>
      <t>$86.0B</t>
    </r>
    <r>
      <rPr>
        <rFont val="Calibri"/>
        <color rgb="FF000000"/>
        <sz val="11.0"/>
      </rPr>
      <t xml:space="preserve"> as the FY2026E revenue estimate.
FY2027E–FY2030E represent the model’s base-case assumptions. These estimates are informed by the broader direction of Wall Street expectations including continued double-digit revenue growth that gradually moderates over time but they are not intended to replicate any single consensus forecast. Given inconsistencies across third-party estimates, the projections reflect independent analytical judgment.
Accordingly, FY2027E onward should be viewed as the analyst’s own forecast rather than sourced company guidance or consensus estimates. 
</t>
    </r>
  </si>
  <si>
    <t>Oncology (Cyramza, Erbitux, Jaypirca, Retevmo, Verzenio, Tyvyt, Inluriyo)</t>
  </si>
  <si>
    <t>Immunology (Taltz, Olumiant, Omvoh, Ebglyss)</t>
  </si>
  <si>
    <t>Items</t>
  </si>
  <si>
    <t>Neuroscience (Emgality, Kisunla)</t>
  </si>
  <si>
    <t>Humulin</t>
  </si>
  <si>
    <t>FY2026E</t>
  </si>
  <si>
    <t>Assumption</t>
  </si>
  <si>
    <t>Basaglar</t>
  </si>
  <si>
    <t>FY2027E</t>
  </si>
  <si>
    <t>Cash Conversion Cycle (DSO+DIO-DPO)</t>
  </si>
  <si>
    <t>FY2028E</t>
  </si>
  <si>
    <t>FY2029E</t>
  </si>
  <si>
    <t>Trajenta</t>
  </si>
  <si>
    <t>FY2030E</t>
  </si>
  <si>
    <t>Other Cardiometabolic Health</t>
  </si>
  <si>
    <t>Other Product Revenue</t>
  </si>
  <si>
    <t xml:space="preserve">TOTAL REVENUE </t>
  </si>
  <si>
    <t>Revenue Growth Drivers</t>
  </si>
  <si>
    <t>FY2026E reflects Lilly’s latest guidance midpoint of $86B; FY2027E–FY2030E assume gradual growth moderation as the GLP-1 franchise matures and new products contribute.</t>
  </si>
  <si>
    <t>Net Working Capital ($M)</t>
  </si>
  <si>
    <t>Margin Structure</t>
  </si>
  <si>
    <t>Income Statement Revenue</t>
  </si>
  <si>
    <t>Assumes modest expansion from FY2025A as increased manufacturing scale and operating efficiencies improve product economics.</t>
  </si>
  <si>
    <t>Assumes gradual expansion as revenue growth outpaces SG&amp;A and R&amp;D growth creating operating leverage.</t>
  </si>
  <si>
    <t>Assumes net profitability improves as operating margins expand and earnings grow faster than interest and other fixed costs.</t>
  </si>
  <si>
    <t>Margin &amp; Return Metrics</t>
  </si>
  <si>
    <t>Capex, D&amp;A &amp; Working Capital</t>
  </si>
  <si>
    <t xml:space="preserve">GLP-1 Franchise (Mounjaro + Zepbound) </t>
  </si>
  <si>
    <t>Capex % of Revenue</t>
  </si>
  <si>
    <t>Assumes Capex declines as a percentage of revenue as major manufacturing capacity investments are completed.</t>
  </si>
  <si>
    <t>D&amp;A % of Revenue</t>
  </si>
  <si>
    <t>Assumes D&amp;A increases gradually as newly constructed manufacturing facilities and other assets come online.</t>
  </si>
  <si>
    <t xml:space="preserve">  as % of Total Revenue</t>
  </si>
  <si>
    <t>DSO (days)</t>
  </si>
  <si>
    <t>Held constant at approximately FY2025A levels, assuming no significant change in Lilly’s collection cycle.</t>
  </si>
  <si>
    <t>DIO (days)</t>
  </si>
  <si>
    <t>Held constant at approximately FY2025A levels, assuming inventory efficiency remains broadly stable.</t>
  </si>
  <si>
    <t>DPO (days)</t>
  </si>
  <si>
    <t>Held constant at approximately FY2025A levels, assuming Lilly’s supplier payment practices remain stable.</t>
  </si>
  <si>
    <t>Capital Allocation &amp; Share Count</t>
  </si>
  <si>
    <t>Dividend Payout Ratio (% of NI)</t>
  </si>
  <si>
    <t>Assumes a gradual increase in the payout ratio, reflecting continued shareholder returns as earnings and cash generation grow.</t>
  </si>
  <si>
    <t>Annual Share Buybacks ($M)</t>
  </si>
  <si>
    <t>Held at approximately $4.5B annually, reflecting a moderate and consistent share repurchase program.</t>
  </si>
  <si>
    <t>Share Count Reduction Rate</t>
  </si>
  <si>
    <t>Assumes approximately 1% annual reduction in diluted shares outstanding from net share repurchases and dilution.</t>
  </si>
  <si>
    <t>R&amp;D + SG&amp;A (implied combined OpEx)</t>
  </si>
  <si>
    <t>Return on Equity (ROE)</t>
  </si>
  <si>
    <t>Return on Assets (ROA)</t>
  </si>
  <si>
    <t>Current Ratio</t>
  </si>
  <si>
    <t>Diluted Shares Outstanding (M)</t>
  </si>
  <si>
    <t>Debt / Equity</t>
  </si>
  <si>
    <t>Eli Lilly - Forecast Balance Sheet (FY2026E–FY2030E)</t>
  </si>
  <si>
    <t>$ in millions | Working capital driven by DSO/DIO/DPO | debt held flat | cash rolls forward from Forecast Cash Flow</t>
  </si>
  <si>
    <t>Known Limitation : Dividends and buybacks are held roughly flat in dollar terms which may cause cash to build faster than it would in reality.</t>
  </si>
  <si>
    <t>A more advanced model would link payouts to FCF or a target cash balance.</t>
  </si>
  <si>
    <t>Net PP&amp;E (prior + capex - D&amp;A)</t>
  </si>
  <si>
    <t xml:space="preserve">  Capital Expenditures</t>
  </si>
  <si>
    <t>Eli Lilly - Forecast Cash Flow Statement (FY2026E–FY2030E)</t>
  </si>
  <si>
    <t xml:space="preserve">  Depreciation &amp; Amortization</t>
  </si>
  <si>
    <t>$ in millions | no new debt issuance | no M&amp;A/other investing modeled beyond FY2025A base</t>
  </si>
  <si>
    <t>Total Debt (held flat at FY2025A)</t>
  </si>
  <si>
    <t>Eli Lilly - FY2026 Budget vs. Actual &amp; Variance Analysis</t>
  </si>
  <si>
    <t xml:space="preserve">Uses Lilly's own publicly issued guidance as 'Budget' </t>
  </si>
  <si>
    <t>+ Depreciation &amp; Amortization</t>
  </si>
  <si>
    <t>Sources: Lilly Q4 2025 earnings release (Feb 4, 2026), Q1 2026 release (Apr 30, 2026), Q2 2026 release (Aug 5, 2026) — investor.lilly.com</t>
  </si>
  <si>
    <t>Shareholders' Equity (roll-forward)</t>
  </si>
  <si>
    <t>Original Budget
(Feb 4, 2026)</t>
  </si>
  <si>
    <t>(Increase) / Decrease in Receivables</t>
  </si>
  <si>
    <t>Post-Q1 Reforecast
(Apr 30, 2026)</t>
  </si>
  <si>
    <t>Current Guidance
(Aug 5, 2026)</t>
  </si>
  <si>
    <t>Revenue — Low ($B)</t>
  </si>
  <si>
    <t>Eli Lilly - Management KPI Dashboard</t>
  </si>
  <si>
    <t>Revenue — High ($B)</t>
  </si>
  <si>
    <t>Revenue — Midpoint ($B)</t>
  </si>
  <si>
    <t>FY2021A–FY2025A actuals + FY2026E–FY2030E forecast | Data linked from Income Statement / Forecast tabs</t>
  </si>
  <si>
    <t>(Increase) / Decrease in Inventory</t>
  </si>
  <si>
    <t>FY21A</t>
  </si>
  <si>
    <t>FY22A</t>
  </si>
  <si>
    <t>FY23A</t>
  </si>
  <si>
    <t>FY24A</t>
  </si>
  <si>
    <t>Cash &amp; Equivalents (roll-forward)</t>
  </si>
  <si>
    <t>FY25A</t>
  </si>
  <si>
    <t>FY26E</t>
  </si>
  <si>
    <t>FY27E</t>
  </si>
  <si>
    <t>FY28E</t>
  </si>
  <si>
    <t>FY29E</t>
  </si>
  <si>
    <t>Non-GAAP EPS — Low</t>
  </si>
  <si>
    <t>FY30E</t>
  </si>
  <si>
    <t>Non-GAAP EPS — High</t>
  </si>
  <si>
    <t>Non-GAAP EPS — Midpoint</t>
  </si>
  <si>
    <t>Increase / (Decrease) in Payables</t>
  </si>
  <si>
    <t>Revenue ($M)</t>
  </si>
  <si>
    <t>Net Working Capital (AR + Inv - AP)</t>
  </si>
  <si>
    <t>Variance: Current Guidance vs. Original Budget</t>
  </si>
  <si>
    <t>Revenue Variance ($B)</t>
  </si>
  <si>
    <t xml:space="preserve">Favorable - guidance was raised twice in 2026 due to strong Mounjaro and Zepbound demand and better-than-expected growth from the new oral GLP-1 treatment.
</t>
  </si>
  <si>
    <t>Revenue Variance (%)</t>
  </si>
  <si>
    <t>EPS Variance ($)</t>
  </si>
  <si>
    <t>EPS Variance (%)</t>
  </si>
  <si>
    <t>Quarterly Actual Results Delivered vs. Plan</t>
  </si>
  <si>
    <t>Q1 2026A</t>
  </si>
  <si>
    <t>Q2 2026A</t>
  </si>
  <si>
    <t>H1 2026A (Sum)</t>
  </si>
  <si>
    <t>Revenue ($B)</t>
  </si>
  <si>
    <t>Revenue Growth % YoY</t>
  </si>
  <si>
    <t>Reported Diluted EPS</t>
  </si>
  <si>
    <t>Non-GAAP Diluted EPS</t>
  </si>
  <si>
    <t>Implied H2 2026 Revenue Needed (to hit current guidance midpoint)</t>
  </si>
  <si>
    <t>Dividends Paid</t>
  </si>
  <si>
    <t>Interpretation: FY2026 is tracking as a “beat-and-raise” year with positive variance driven primarily by strong volume growth and higher demand rather than one-time factors.</t>
  </si>
  <si>
    <t>Share Buybacks</t>
  </si>
  <si>
    <t>Eli Lilly - Bull / Base / Bear Scenario Analysis (FY2030E)</t>
  </si>
  <si>
    <t>Base case = Forecast Assumptions tab. Bull/Bear rebuild the 5-year compounding path with different assumptions.</t>
  </si>
  <si>
    <t>Bear Case</t>
  </si>
  <si>
    <t>Base Case</t>
  </si>
  <si>
    <t>Bull Case</t>
  </si>
  <si>
    <t>Avg. Annual Revenue Growth FY26-30E</t>
  </si>
  <si>
    <r>
      <rPr>
        <rFont val="Calibri"/>
        <b/>
        <color rgb="FF000000"/>
        <sz val="11.0"/>
      </rPr>
      <t>Bear:</t>
    </r>
    <r>
      <rPr>
        <rFont val="Calibri"/>
        <b val="0"/>
        <color rgb="FF000000"/>
        <sz val="11.0"/>
      </rPr>
      <t> Intensifying oral GLP-1 competition, especially Novo Nordisk’s Wegovy pill limits Lilly’s share gains. Pricing pressure and continued manufacturing/R&amp;D investment constrain margins. </t>
    </r>
    <r>
      <rPr>
        <rFont val="Calibri"/>
        <b/>
        <color rgb="FF000000"/>
        <sz val="11.0"/>
      </rPr>
      <t>Bull:</t>
    </r>
    <r>
      <rPr>
        <rFont val="Calibri"/>
        <b val="0"/>
        <color rgb="FF000000"/>
        <sz val="11.0"/>
      </rPr>
      <t> Successful 2027 retatrutide submission/launch, sustained Mounjaro/Zepbound strength, rapid Foundayo adoption and stronger international expansion accelerate growth.</t>
    </r>
  </si>
  <si>
    <t>FY2030E Operating Margin</t>
  </si>
  <si>
    <r>
      <rPr>
        <rFont val="Calibri"/>
        <b/>
        <color rgb="FF000000"/>
        <sz val="11.0"/>
      </rPr>
      <t>Bear</t>
    </r>
    <r>
      <rPr>
        <rFont val="Calibri"/>
        <color rgb="FF000000"/>
        <sz val="11.0"/>
      </rPr>
      <t xml:space="preserve">: Elevated reinvestment in manufacturing, R&amp;D and pricing concessions limits margin expansion. </t>
    </r>
    <r>
      <rPr>
        <rFont val="Calibri"/>
        <b/>
        <color rgb="FF000000"/>
        <sz val="11.0"/>
      </rPr>
      <t>Bull</t>
    </r>
    <r>
      <rPr>
        <rFont val="Calibri"/>
        <color rgb="FF000000"/>
        <sz val="11.0"/>
      </rPr>
      <t>: Operating leverage improves as the fixed R&amp;D/manufacturing base is spread across a larger revenue base.</t>
    </r>
  </si>
  <si>
    <t>FY2030E Net Margin</t>
  </si>
  <si>
    <t>Resulting Outputs</t>
  </si>
  <si>
    <t>FY2030E Revenue ($M)</t>
  </si>
  <si>
    <t>FY2030E Operating Income ($M)</t>
  </si>
  <si>
    <t>GLP-1 Franchise % of Revenue</t>
  </si>
  <si>
    <t>FY2030E Net Income ($M)</t>
  </si>
  <si>
    <t>Implied Diluted EPS (855M shares)</t>
  </si>
  <si>
    <t>FY2030E Revenue vs. Base Case</t>
  </si>
  <si>
    <r>
      <rPr>
        <rFont val="Calibri"/>
        <b/>
        <color rgb="FF000000"/>
        <sz val="11.0"/>
      </rPr>
      <t>Note:</t>
    </r>
    <r>
      <rPr>
        <rFont val="Calibri"/>
        <b val="0"/>
        <color rgb="FF000000"/>
        <sz val="11.0"/>
      </rPr>
      <t> Simplified top-down scenario analysis flexing revenue CAGR and FY2030 margins, not a full three-statement forecast. For a fully integrated analysis, adjust revenue, margin, tax, working capital, capex, financing, and share-count assumptions in the Forecast Assumptions tab so the three statements and valuation outputs flow through automatically.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</si>
</sst>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;\(#,##0\);\-"/>
    <numFmt numFmtId="165" formatCode="0.0%;\(0.0%\);\-"/>
    <numFmt numFmtId="166" formatCode="\$#,##0.00;&quot;($&quot;#,##0.00\)"/>
    <numFmt numFmtId="167" formatCode="0.0&quot; days&quot;"/>
    <numFmt numFmtId="168" formatCode="0.00\x"/>
    <numFmt numFmtId="169" formatCode="\$#,##0.0\B"/>
    <numFmt numFmtId="170" formatCode="&quot;+$&quot;#,##0.0\B;&quot;-$&quot;#,##0.0\B"/>
    <numFmt numFmtId="171" formatCode="\+0.0%;\-0.0%"/>
    <numFmt numFmtId="172" formatCode="&quot;+$&quot;#,##0.00;&quot;-$&quot;#,##0.00"/>
  </numFmts>
  <fonts count="22">
    <font>
      <sz val="11.0"/>
      <color theme="1"/>
      <name val="Calibri"/>
      <scheme val="minor"/>
    </font>
    <font>
      <b/>
      <sz val="16.0"/>
      <color rgb="FF1F4E78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595959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rgb="FF1F4E78"/>
      <name val="Calibri"/>
    </font>
    <font>
      <b/>
      <sz val="11.0"/>
      <color rgb="FF000000"/>
      <name val="Calibri"/>
    </font>
    <font>
      <b/>
      <sz val="10.0"/>
      <color rgb="FF000000"/>
      <name val="Calibri"/>
    </font>
    <font>
      <u/>
      <sz val="10.0"/>
      <color rgb="FF0563C1"/>
      <name val="Calibri"/>
    </font>
    <font>
      <sz val="10.0"/>
      <color rgb="FF000000"/>
      <name val="Calibri"/>
    </font>
    <font>
      <u/>
      <sz val="11.0"/>
      <color theme="4"/>
      <name val="Calibri"/>
    </font>
    <font>
      <sz val="10.0"/>
      <color rgb="FF000000"/>
      <name val="Arial"/>
    </font>
    <font>
      <b/>
      <sz val="11.0"/>
      <color rgb="FF1F4E78"/>
      <name val="Arial"/>
    </font>
    <font>
      <i/>
      <sz val="10.0"/>
      <color rgb="FF595959"/>
      <name val="Arial"/>
    </font>
    <font>
      <sz val="11.0"/>
      <color rgb="FF008000"/>
      <name val="Calibri"/>
    </font>
    <font>
      <sz val="11.0"/>
      <color rgb="FF242424"/>
      <name val="Aptos Narrow"/>
    </font>
    <font/>
    <font>
      <sz val="11.0"/>
      <color rgb="FF242424"/>
      <name val="Calibri"/>
    </font>
    <font>
      <sz val="10.0"/>
      <color rgb="FF008000"/>
      <name val="Calibri"/>
    </font>
    <font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D9F0"/>
        <bgColor rgb="FFC6D9F0"/>
      </patternFill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/>
    </xf>
    <xf borderId="1" fillId="2" fontId="6" numFmtId="0" xfId="0" applyAlignment="1" applyBorder="1" applyFont="1">
      <alignment horizontal="center"/>
    </xf>
    <xf borderId="0" fillId="0" fontId="7" numFmtId="0" xfId="0" applyFont="1"/>
    <xf borderId="0" fillId="0" fontId="2" numFmtId="0" xfId="0" applyAlignment="1" applyFont="1">
      <alignment horizontal="left" shrinkToFit="0" vertical="top" wrapText="1"/>
    </xf>
    <xf borderId="1" fillId="0" fontId="3" numFmtId="0" xfId="0" applyBorder="1" applyFont="1"/>
    <xf borderId="0" fillId="0" fontId="2" numFmtId="0" xfId="0" applyAlignment="1" applyFont="1">
      <alignment shrinkToFit="0" vertical="top" wrapText="1"/>
    </xf>
    <xf borderId="1" fillId="0" fontId="2" numFmtId="0" xfId="0" applyBorder="1" applyFont="1"/>
    <xf borderId="1" fillId="3" fontId="8" numFmtId="0" xfId="0" applyBorder="1" applyFill="1" applyFont="1"/>
    <xf borderId="1" fillId="4" fontId="7" numFmtId="0" xfId="0" applyBorder="1" applyFill="1" applyFont="1"/>
    <xf borderId="1" fillId="0" fontId="9" numFmtId="0" xfId="0" applyBorder="1" applyFont="1"/>
    <xf borderId="1" fillId="3" fontId="3" numFmtId="0" xfId="0" applyBorder="1" applyFont="1"/>
    <xf borderId="1" fillId="4" fontId="2" numFmtId="0" xfId="0" applyBorder="1" applyFont="1"/>
    <xf borderId="0" fillId="0" fontId="10" numFmtId="0" xfId="0" applyFont="1"/>
    <xf borderId="1" fillId="0" fontId="9" numFmtId="164" xfId="0" applyBorder="1" applyFont="1" applyNumberFormat="1"/>
    <xf borderId="1" fillId="0" fontId="11" numFmtId="0" xfId="0" applyBorder="1" applyFont="1"/>
    <xf borderId="1" fillId="0" fontId="11" numFmtId="164" xfId="0" applyBorder="1" applyFont="1" applyNumberFormat="1"/>
    <xf borderId="0" fillId="0" fontId="11" numFmtId="0" xfId="0" applyFont="1"/>
    <xf borderId="1" fillId="0" fontId="11" numFmtId="0" xfId="0" applyAlignment="1" applyBorder="1" applyFont="1">
      <alignment horizontal="right"/>
    </xf>
    <xf borderId="0" fillId="0" fontId="12" numFmtId="0" xfId="0" applyFont="1"/>
    <xf borderId="1" fillId="0" fontId="11" numFmtId="165" xfId="0" applyBorder="1" applyFont="1" applyNumberFormat="1"/>
    <xf borderId="0" fillId="0" fontId="13" numFmtId="0" xfId="0" applyFont="1"/>
    <xf borderId="0" fillId="0" fontId="14" numFmtId="0" xfId="0" applyFont="1"/>
    <xf borderId="1" fillId="4" fontId="3" numFmtId="0" xfId="0" applyBorder="1" applyFont="1"/>
    <xf borderId="1" fillId="0" fontId="11" numFmtId="166" xfId="0" applyBorder="1" applyFont="1" applyNumberFormat="1"/>
    <xf borderId="0" fillId="0" fontId="15" numFmtId="0" xfId="0" applyFont="1"/>
    <xf borderId="1" fillId="0" fontId="3" numFmtId="164" xfId="0" applyBorder="1" applyFont="1" applyNumberFormat="1"/>
    <xf borderId="1" fillId="3" fontId="7" numFmtId="0" xfId="0" applyBorder="1" applyFont="1"/>
    <xf borderId="1" fillId="3" fontId="2" numFmtId="0" xfId="0" applyBorder="1" applyFont="1"/>
    <xf borderId="1" fillId="0" fontId="16" numFmtId="167" xfId="0" applyBorder="1" applyFont="1" applyNumberFormat="1"/>
    <xf borderId="0" fillId="0" fontId="3" numFmtId="0" xfId="0" applyAlignment="1" applyFont="1">
      <alignment shrinkToFit="0" vertical="top" wrapText="1"/>
    </xf>
    <xf borderId="2" fillId="5" fontId="6" numFmtId="0" xfId="0" applyAlignment="1" applyBorder="1" applyFill="1" applyFont="1">
      <alignment horizontal="center"/>
    </xf>
    <xf borderId="3" fillId="5" fontId="6" numFmtId="0" xfId="0" applyAlignment="1" applyBorder="1" applyFont="1">
      <alignment horizontal="center"/>
    </xf>
    <xf borderId="1" fillId="0" fontId="8" numFmtId="0" xfId="0" applyBorder="1" applyFont="1"/>
    <xf borderId="4" fillId="5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5" fillId="0" fontId="8" numFmtId="0" xfId="0" applyBorder="1" applyFont="1"/>
    <xf borderId="7" fillId="3" fontId="8" numFmtId="0" xfId="0" applyBorder="1" applyFont="1"/>
    <xf borderId="1" fillId="0" fontId="8" numFmtId="167" xfId="0" applyBorder="1" applyFont="1" applyNumberFormat="1"/>
    <xf borderId="8" fillId="3" fontId="7" numFmtId="0" xfId="0" applyBorder="1" applyFont="1"/>
    <xf borderId="8" fillId="3" fontId="2" numFmtId="0" xfId="0" applyBorder="1" applyFont="1"/>
    <xf borderId="9" fillId="3" fontId="2" numFmtId="0" xfId="0" applyBorder="1" applyFont="1"/>
    <xf borderId="5" fillId="0" fontId="3" numFmtId="0" xfId="0" applyBorder="1" applyFont="1"/>
    <xf borderId="0" fillId="0" fontId="16" numFmtId="164" xfId="0" applyFont="1" applyNumberFormat="1"/>
    <xf borderId="1" fillId="0" fontId="8" numFmtId="164" xfId="0" applyBorder="1" applyFont="1" applyNumberFormat="1"/>
    <xf borderId="0" fillId="0" fontId="17" numFmtId="0" xfId="0" applyAlignment="1" applyFont="1">
      <alignment shrinkToFit="0" wrapText="1"/>
    </xf>
    <xf borderId="0" fillId="0" fontId="3" numFmtId="165" xfId="0" applyFont="1" applyNumberFormat="1"/>
    <xf borderId="6" fillId="0" fontId="3" numFmtId="165" xfId="0" applyBorder="1" applyFont="1" applyNumberFormat="1"/>
    <xf borderId="1" fillId="0" fontId="16" numFmtId="164" xfId="0" applyBorder="1" applyFont="1" applyNumberFormat="1"/>
    <xf borderId="6" fillId="0" fontId="3" numFmtId="0" xfId="0" applyBorder="1" applyFont="1"/>
    <xf borderId="8" fillId="3" fontId="8" numFmtId="0" xfId="0" applyBorder="1" applyFont="1"/>
    <xf borderId="1" fillId="0" fontId="4" numFmtId="0" xfId="0" applyBorder="1" applyFont="1"/>
    <xf borderId="8" fillId="3" fontId="3" numFmtId="0" xfId="0" applyBorder="1" applyFont="1"/>
    <xf borderId="9" fillId="3" fontId="3" numFmtId="0" xfId="0" applyBorder="1" applyFont="1"/>
    <xf borderId="6" fillId="0" fontId="16" numFmtId="164" xfId="0" applyBorder="1" applyFont="1" applyNumberFormat="1"/>
    <xf borderId="6" fillId="0" fontId="18" numFmtId="0" xfId="0" applyBorder="1" applyFont="1"/>
    <xf borderId="0" fillId="0" fontId="16" numFmtId="165" xfId="0" applyFont="1" applyNumberFormat="1"/>
    <xf borderId="0" fillId="0" fontId="8" numFmtId="0" xfId="0" applyFont="1"/>
    <xf borderId="6" fillId="0" fontId="16" numFmtId="165" xfId="0" applyBorder="1" applyFont="1" applyNumberFormat="1"/>
    <xf borderId="1" fillId="0" fontId="16" numFmtId="165" xfId="0" applyBorder="1" applyFont="1" applyNumberFormat="1"/>
    <xf borderId="1" fillId="6" fontId="8" numFmtId="164" xfId="0" applyBorder="1" applyFill="1" applyFont="1" applyNumberFormat="1"/>
    <xf borderId="0" fillId="0" fontId="3" numFmtId="167" xfId="0" applyFont="1" applyNumberFormat="1"/>
    <xf borderId="6" fillId="0" fontId="3" numFmtId="167" xfId="0" applyBorder="1" applyFont="1" applyNumberFormat="1"/>
    <xf borderId="0" fillId="0" fontId="3" numFmtId="164" xfId="0" applyFont="1" applyNumberFormat="1"/>
    <xf borderId="0" fillId="0" fontId="17" numFmtId="0" xfId="0" applyFont="1"/>
    <xf borderId="6" fillId="0" fontId="3" numFmtId="164" xfId="0" applyBorder="1" applyFont="1" applyNumberFormat="1"/>
    <xf borderId="10" fillId="0" fontId="3" numFmtId="0" xfId="0" applyBorder="1" applyFont="1"/>
    <xf borderId="11" fillId="0" fontId="17" numFmtId="0" xfId="0" applyAlignment="1" applyBorder="1" applyFont="1">
      <alignment shrinkToFit="0" wrapText="1"/>
    </xf>
    <xf borderId="11" fillId="0" fontId="3" numFmtId="165" xfId="0" applyBorder="1" applyFont="1" applyNumberFormat="1"/>
    <xf borderId="12" fillId="0" fontId="3" numFmtId="165" xfId="0" applyBorder="1" applyFont="1" applyNumberFormat="1"/>
    <xf borderId="1" fillId="0" fontId="16" numFmtId="168" xfId="0" applyBorder="1" applyFont="1" applyNumberFormat="1"/>
    <xf borderId="10" fillId="0" fontId="8" numFmtId="0" xfId="0" applyBorder="1" applyFont="1"/>
    <xf borderId="11" fillId="0" fontId="8" numFmtId="166" xfId="0" applyBorder="1" applyFont="1" applyNumberFormat="1"/>
    <xf borderId="0" fillId="0" fontId="19" numFmtId="0" xfId="0" applyFont="1"/>
    <xf borderId="12" fillId="0" fontId="8" numFmtId="166" xfId="0" applyBorder="1" applyFont="1" applyNumberFormat="1"/>
    <xf borderId="0" fillId="0" fontId="15" numFmtId="0" xfId="0" applyAlignment="1" applyFont="1">
      <alignment shrinkToFit="0" wrapText="1"/>
    </xf>
    <xf borderId="5" fillId="0" fontId="11" numFmtId="0" xfId="0" applyBorder="1" applyFont="1"/>
    <xf borderId="0" fillId="0" fontId="20" numFmtId="164" xfId="0" applyFont="1" applyNumberFormat="1"/>
    <xf borderId="6" fillId="0" fontId="20" numFmtId="164" xfId="0" applyBorder="1" applyFont="1" applyNumberFormat="1"/>
    <xf borderId="5" fillId="0" fontId="7" numFmtId="0" xfId="0" applyBorder="1" applyFont="1"/>
    <xf borderId="0" fillId="0" fontId="3" numFmtId="0" xfId="0" applyAlignment="1" applyFont="1">
      <alignment shrinkToFit="0" wrapText="1"/>
    </xf>
    <xf borderId="5" fillId="0" fontId="9" numFmtId="0" xfId="0" applyBorder="1" applyFont="1"/>
    <xf borderId="3" fillId="5" fontId="6" numFmtId="0" xfId="0" applyAlignment="1" applyBorder="1" applyFont="1">
      <alignment horizontal="center" shrinkToFit="0" wrapText="1"/>
    </xf>
    <xf borderId="4" fillId="5" fontId="6" numFmtId="0" xfId="0" applyAlignment="1" applyBorder="1" applyFont="1">
      <alignment horizontal="center" shrinkToFit="0" wrapText="1"/>
    </xf>
    <xf borderId="0" fillId="0" fontId="11" numFmtId="169" xfId="0" applyFont="1" applyNumberFormat="1"/>
    <xf borderId="6" fillId="0" fontId="11" numFmtId="169" xfId="0" applyBorder="1" applyFont="1" applyNumberFormat="1"/>
    <xf borderId="0" fillId="0" fontId="9" numFmtId="169" xfId="0" applyFont="1" applyNumberFormat="1"/>
    <xf borderId="6" fillId="0" fontId="9" numFmtId="169" xfId="0" applyBorder="1" applyFont="1" applyNumberFormat="1"/>
    <xf borderId="0" fillId="0" fontId="11" numFmtId="166" xfId="0" applyFont="1" applyNumberFormat="1"/>
    <xf borderId="6" fillId="0" fontId="11" numFmtId="166" xfId="0" applyBorder="1" applyFont="1" applyNumberFormat="1"/>
    <xf borderId="0" fillId="0" fontId="9" numFmtId="166" xfId="0" applyFont="1" applyNumberFormat="1"/>
    <xf borderId="6" fillId="0" fontId="9" numFmtId="166" xfId="0" applyBorder="1" applyFont="1" applyNumberFormat="1"/>
    <xf borderId="10" fillId="0" fontId="11" numFmtId="0" xfId="0" applyBorder="1" applyFont="1"/>
    <xf borderId="7" fillId="5" fontId="5" numFmtId="0" xfId="0" applyBorder="1" applyFont="1"/>
    <xf borderId="8" fillId="5" fontId="2" numFmtId="0" xfId="0" applyBorder="1" applyFont="1"/>
    <xf borderId="11" fillId="0" fontId="11" numFmtId="164" xfId="0" applyBorder="1" applyFont="1" applyNumberFormat="1"/>
    <xf borderId="9" fillId="5" fontId="2" numFmtId="0" xfId="0" applyBorder="1" applyFont="1"/>
    <xf borderId="0" fillId="0" fontId="9" numFmtId="170" xfId="0" applyFont="1" applyNumberFormat="1"/>
    <xf borderId="12" fillId="0" fontId="11" numFmtId="164" xfId="0" applyBorder="1" applyFont="1" applyNumberFormat="1"/>
    <xf borderId="0" fillId="0" fontId="9" numFmtId="164" xfId="0" applyFont="1" applyNumberFormat="1"/>
    <xf borderId="0" fillId="0" fontId="9" numFmtId="171" xfId="0" applyFont="1" applyNumberFormat="1"/>
    <xf borderId="6" fillId="0" fontId="9" numFmtId="164" xfId="0" applyBorder="1" applyFont="1" applyNumberFormat="1"/>
    <xf borderId="0" fillId="0" fontId="9" numFmtId="172" xfId="0" applyFont="1" applyNumberFormat="1"/>
    <xf borderId="8" fillId="5" fontId="21" numFmtId="0" xfId="0" applyBorder="1" applyFont="1"/>
    <xf borderId="9" fillId="5" fontId="21" numFmtId="0" xfId="0" applyBorder="1" applyFont="1"/>
    <xf borderId="7" fillId="4" fontId="8" numFmtId="0" xfId="0" applyAlignment="1" applyBorder="1" applyFont="1">
      <alignment horizontal="center"/>
    </xf>
    <xf borderId="0" fillId="0" fontId="3" numFmtId="165" xfId="0" applyAlignment="1" applyFont="1" applyNumberFormat="1">
      <alignment horizontal="right"/>
    </xf>
    <xf borderId="8" fillId="4" fontId="8" numFmtId="0" xfId="0" applyAlignment="1" applyBorder="1" applyFont="1">
      <alignment horizontal="center"/>
    </xf>
    <xf borderId="9" fillId="4" fontId="8" numFmtId="0" xfId="0" applyAlignment="1" applyBorder="1" applyFont="1">
      <alignment horizontal="center"/>
    </xf>
    <xf borderId="0" fillId="0" fontId="11" numFmtId="165" xfId="0" applyFont="1" applyNumberFormat="1"/>
    <xf borderId="10" fillId="0" fontId="9" numFmtId="0" xfId="0" applyBorder="1" applyFont="1"/>
    <xf borderId="11" fillId="0" fontId="9" numFmtId="169" xfId="0" applyBorder="1" applyFont="1" applyNumberFormat="1"/>
    <xf borderId="11" fillId="0" fontId="2" numFmtId="0" xfId="0" applyBorder="1" applyFont="1"/>
    <xf borderId="12" fillId="0" fontId="2" numFmtId="0" xfId="0" applyBorder="1" applyFont="1"/>
    <xf borderId="11" fillId="0" fontId="9" numFmtId="164" xfId="0" applyBorder="1" applyFont="1" applyNumberFormat="1"/>
    <xf borderId="12" fillId="0" fontId="9" numFmtId="164" xfId="0" applyBorder="1" applyFont="1" applyNumberFormat="1"/>
    <xf borderId="6" fillId="0" fontId="11" numFmtId="165" xfId="0" applyBorder="1" applyFont="1" applyNumberFormat="1"/>
    <xf borderId="0" fillId="0" fontId="8" numFmtId="0" xfId="0" applyAlignment="1" applyFont="1">
      <alignment shrinkToFit="0" wrapText="1"/>
    </xf>
    <xf borderId="0" fillId="0" fontId="3" numFmtId="166" xfId="0" applyFont="1" applyNumberFormat="1"/>
    <xf borderId="7" fillId="4" fontId="8" numFmtId="0" xfId="0" applyBorder="1" applyFont="1"/>
    <xf borderId="8" fillId="4" fontId="2" numFmtId="0" xfId="0" applyBorder="1" applyFont="1"/>
    <xf borderId="9" fillId="4" fontId="2" numFmtId="0" xfId="0" applyBorder="1" applyFont="1"/>
    <xf borderId="0" fillId="0" fontId="11" numFmtId="164" xfId="0" applyFont="1" applyNumberFormat="1"/>
    <xf borderId="6" fillId="0" fontId="3" numFmtId="166" xfId="0" applyBorder="1" applyFont="1" applyNumberFormat="1"/>
    <xf borderId="6" fillId="0" fontId="11" numFmtId="164" xfId="0" applyBorder="1" applyFont="1" applyNumberFormat="1"/>
    <xf borderId="11" fillId="0" fontId="2" numFmtId="10" xfId="0" applyAlignment="1" applyBorder="1" applyFont="1" applyNumberFormat="1">
      <alignment readingOrder="0"/>
    </xf>
    <xf borderId="11" fillId="0" fontId="3" numFmtId="10" xfId="0" applyAlignment="1" applyBorder="1" applyFont="1" applyNumberFormat="1">
      <alignment readingOrder="0"/>
    </xf>
    <xf borderId="11" fillId="0" fontId="11" numFmtId="171" xfId="0" applyBorder="1" applyFont="1" applyNumberFormat="1"/>
    <xf borderId="12" fillId="0" fontId="11" numFmtId="171" xfId="0" applyBorder="1" applyFont="1" applyNumberFormat="1"/>
    <xf borderId="1" fillId="0" fontId="8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762625" cy="3171825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14</xdr:row>
      <xdr:rowOff>180975</xdr:rowOff>
    </xdr:from>
    <xdr:ext cx="6086475" cy="3190875"/>
    <xdr:pic>
      <xdr:nvPicPr>
        <xdr:cNvPr descr="Picture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5810250" cy="3943350"/>
    <xdr:pic>
      <xdr:nvPicPr>
        <xdr:cNvPr descr="Picture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33</xdr:row>
      <xdr:rowOff>95250</xdr:rowOff>
    </xdr:from>
    <xdr:ext cx="5772150" cy="3867150"/>
    <xdr:pic>
      <xdr:nvPicPr>
        <xdr:cNvPr descr="Picture"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LLY_FPA_Model%20(3)%20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come Statement"/>
      <sheetName val="Forecast Income Statement"/>
      <sheetName val="Revenue by Product"/>
      <sheetName val="Cover &amp; Sources"/>
      <sheetName val="Balance Sheet"/>
      <sheetName val="Cash Flow"/>
      <sheetName val="Working Capital &amp; KPIs"/>
      <sheetName val="Forecast Assumptions"/>
      <sheetName val="Forecast Balance Sheet"/>
      <sheetName val="Forecast Cash Flow"/>
      <sheetName val="Budget vs Actual &amp; Variance"/>
      <sheetName val="KPI Dashboard"/>
      <sheetName val="Scenario Analysis"/>
      <sheetName val="PBI_IncomeStatement"/>
      <sheetName val="PBI_BalanceSheet_Actual"/>
      <sheetName val="PBI_BalanceSheet_Forecast"/>
      <sheetName val="PBI_CashFlow_Actual"/>
      <sheetName val="PBI_CashFlow_Forecast"/>
      <sheetName val="PBI_KPIs"/>
      <sheetName val="PBI_RevenueByProduct"/>
      <sheetName val="PBI_BudgetAct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ckanalysis.com/stocks/lly/financials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82.29"/>
    <col customWidth="1" min="3" max="3" width="133.14"/>
    <col customWidth="1" min="4" max="4" width="10.0"/>
    <col customWidth="1" min="5" max="26" width="8.71"/>
  </cols>
  <sheetData>
    <row r="2" ht="19.5" customHeight="1">
      <c r="B2" s="1" t="s">
        <v>2</v>
      </c>
      <c r="C2" s="2"/>
    </row>
    <row r="3" ht="15.0" customHeight="1">
      <c r="B3" s="4" t="s">
        <v>5</v>
      </c>
    </row>
    <row r="4" ht="15.0" customHeight="1">
      <c r="B4" s="4" t="s">
        <v>9</v>
      </c>
      <c r="C4" s="4"/>
    </row>
    <row r="5">
      <c r="B5" s="2"/>
      <c r="C5" s="2"/>
    </row>
    <row r="6" ht="15.0" customHeight="1">
      <c r="B6" s="7" t="s">
        <v>10</v>
      </c>
      <c r="C6" s="2"/>
    </row>
    <row r="7">
      <c r="B7" s="8" t="s">
        <v>16</v>
      </c>
      <c r="C7" s="10"/>
    </row>
    <row r="8" ht="15.0" customHeight="1">
      <c r="B8" s="2"/>
      <c r="C8" s="2"/>
    </row>
    <row r="9" ht="15.0" customHeight="1">
      <c r="B9" s="7" t="s">
        <v>17</v>
      </c>
      <c r="C9" s="2"/>
    </row>
    <row r="10" ht="15.0" customHeight="1">
      <c r="B10" s="2" t="s">
        <v>19</v>
      </c>
      <c r="C10" s="2"/>
    </row>
    <row r="11" ht="15.0" customHeight="1">
      <c r="B11" s="2" t="s">
        <v>21</v>
      </c>
      <c r="C11" s="2"/>
    </row>
    <row r="12" ht="27.75" customHeight="1">
      <c r="B12" s="17" t="s">
        <v>23</v>
      </c>
      <c r="C12" s="2"/>
    </row>
    <row r="13">
      <c r="B13" s="2"/>
      <c r="C13" s="2"/>
    </row>
    <row r="14" ht="15.0" customHeight="1">
      <c r="B14" s="7" t="s">
        <v>26</v>
      </c>
      <c r="C14" s="2"/>
    </row>
    <row r="15">
      <c r="B15" s="10" t="s">
        <v>27</v>
      </c>
    </row>
    <row r="16" ht="15.0" customHeight="1">
      <c r="B16" s="21" t="s">
        <v>29</v>
      </c>
      <c r="C16" s="23" t="s">
        <v>31</v>
      </c>
    </row>
    <row r="17">
      <c r="B17" s="21" t="s">
        <v>43</v>
      </c>
      <c r="C17" s="17" t="s">
        <v>44</v>
      </c>
    </row>
    <row r="18" ht="15.0" customHeight="1">
      <c r="B18" s="21" t="s">
        <v>46</v>
      </c>
      <c r="C18" s="17" t="s">
        <v>47</v>
      </c>
    </row>
    <row r="19" ht="15.0" customHeight="1">
      <c r="B19" s="21" t="s">
        <v>48</v>
      </c>
      <c r="C19" s="17" t="s">
        <v>31</v>
      </c>
    </row>
    <row r="20" ht="15.0" customHeight="1">
      <c r="B20" s="2"/>
      <c r="C20" s="2"/>
    </row>
    <row r="21" ht="15.0" customHeight="1">
      <c r="B21" s="2"/>
      <c r="C21" s="2"/>
    </row>
    <row r="22" ht="15.75" customHeight="1">
      <c r="B22" s="2"/>
      <c r="C22" s="2"/>
    </row>
    <row r="23" ht="15.75" customHeight="1">
      <c r="B23" s="2"/>
      <c r="C23" s="2"/>
    </row>
    <row r="24" ht="15.0" customHeight="1"/>
    <row r="25" ht="15.0" customHeight="1">
      <c r="B25" s="25"/>
    </row>
    <row r="26" ht="15.0" customHeight="1">
      <c r="B26" s="25"/>
    </row>
    <row r="27" ht="15.0" customHeight="1">
      <c r="B27" s="25"/>
    </row>
    <row r="28" ht="15.0" customHeight="1">
      <c r="B28" s="25"/>
    </row>
    <row r="29" ht="15.0" customHeight="1">
      <c r="B29" s="25"/>
    </row>
    <row r="30" ht="15.75" customHeight="1"/>
    <row r="31" ht="15.75" customHeight="1"/>
    <row r="32" ht="15.0" customHeight="1">
      <c r="B32" s="26"/>
    </row>
    <row r="33" ht="15.0" customHeight="1">
      <c r="B33" s="25"/>
    </row>
    <row r="34" ht="15.0" customHeight="1">
      <c r="B34" s="25"/>
    </row>
    <row r="35" ht="15.0" customHeight="1">
      <c r="B35" s="25"/>
    </row>
    <row r="36" ht="15.0" customHeight="1">
      <c r="B36" s="2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C3"/>
    <mergeCell ref="B15:C15"/>
  </mergeCells>
  <hyperlinks>
    <hyperlink r:id="rId1" ref="C16"/>
  </hyperlinks>
  <printOptions/>
  <pageMargins bottom="1.0" footer="0.0" header="0.0" left="0.75" right="0.75" top="1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7" width="12.0"/>
    <col customWidth="1" min="8" max="26" width="8.71"/>
  </cols>
  <sheetData>
    <row r="2" ht="19.5" customHeight="1">
      <c r="B2" s="1" t="s">
        <v>3</v>
      </c>
      <c r="C2" s="2"/>
      <c r="D2" s="2"/>
      <c r="E2" s="2"/>
      <c r="F2" s="2"/>
    </row>
    <row r="3" ht="15.0" customHeight="1">
      <c r="B3" s="3" t="s">
        <v>6</v>
      </c>
      <c r="C3" s="2"/>
      <c r="D3" s="2"/>
      <c r="E3" s="2"/>
      <c r="F3" s="2"/>
      <c r="G3" s="2"/>
    </row>
    <row r="5" ht="15.0" customHeight="1">
      <c r="B5" s="6" t="s">
        <v>8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>
      <c r="B6" s="11"/>
      <c r="C6" s="11"/>
      <c r="D6" s="11"/>
      <c r="E6" s="11"/>
      <c r="F6" s="11"/>
      <c r="G6" s="11"/>
    </row>
    <row r="7" ht="15.0" customHeight="1">
      <c r="B7" s="14" t="s">
        <v>22</v>
      </c>
      <c r="C7" s="18">
        <v>28318.0</v>
      </c>
      <c r="D7" s="18">
        <v>28541.0</v>
      </c>
      <c r="E7" s="18">
        <v>34124.0</v>
      </c>
      <c r="F7" s="18">
        <v>45043.0</v>
      </c>
      <c r="G7" s="18">
        <v>65179.0</v>
      </c>
    </row>
    <row r="8" ht="15.0" customHeight="1">
      <c r="B8" s="19" t="s">
        <v>28</v>
      </c>
      <c r="C8" s="22" t="s">
        <v>30</v>
      </c>
      <c r="D8" s="24">
        <f t="shared" ref="D8:G8" si="1">D7/C7-1</f>
        <v>0.007874849919</v>
      </c>
      <c r="E8" s="24">
        <f t="shared" si="1"/>
        <v>0.1956133282</v>
      </c>
      <c r="F8" s="24">
        <f t="shared" si="1"/>
        <v>0.3199800727</v>
      </c>
      <c r="G8" s="24">
        <f t="shared" si="1"/>
        <v>0.4470394956</v>
      </c>
    </row>
    <row r="9" ht="15.0" customHeight="1">
      <c r="B9" s="19" t="s">
        <v>49</v>
      </c>
      <c r="C9" s="20">
        <f t="shared" ref="C9:G9" si="2">C7-C10</f>
        <v>7312</v>
      </c>
      <c r="D9" s="20">
        <f t="shared" si="2"/>
        <v>6629</v>
      </c>
      <c r="E9" s="20">
        <f t="shared" si="2"/>
        <v>7082</v>
      </c>
      <c r="F9" s="20">
        <f t="shared" si="2"/>
        <v>8418</v>
      </c>
      <c r="G9" s="20">
        <f t="shared" si="2"/>
        <v>11052</v>
      </c>
    </row>
    <row r="10" ht="15.0" customHeight="1">
      <c r="B10" s="14" t="s">
        <v>54</v>
      </c>
      <c r="C10" s="18">
        <v>21006.0</v>
      </c>
      <c r="D10" s="18">
        <v>21912.0</v>
      </c>
      <c r="E10" s="18">
        <v>27042.0</v>
      </c>
      <c r="F10" s="18">
        <v>36625.0</v>
      </c>
      <c r="G10" s="18">
        <v>54127.0</v>
      </c>
    </row>
    <row r="11" ht="15.0" customHeight="1">
      <c r="B11" s="19" t="s">
        <v>56</v>
      </c>
      <c r="C11" s="24">
        <f t="shared" ref="C11:G11" si="3">C10/C7</f>
        <v>0.7417896744</v>
      </c>
      <c r="D11" s="24">
        <f t="shared" si="3"/>
        <v>0.7677376406</v>
      </c>
      <c r="E11" s="24">
        <f t="shared" si="3"/>
        <v>0.7924627828</v>
      </c>
      <c r="F11" s="24">
        <f t="shared" si="3"/>
        <v>0.8131119153</v>
      </c>
      <c r="G11" s="24">
        <f t="shared" si="3"/>
        <v>0.8304361834</v>
      </c>
    </row>
    <row r="12">
      <c r="B12" s="11"/>
      <c r="C12" s="9"/>
      <c r="D12" s="9"/>
      <c r="E12" s="9"/>
      <c r="F12" s="9"/>
      <c r="G12" s="9"/>
    </row>
    <row r="13" ht="15.0" customHeight="1">
      <c r="B13" s="19" t="s">
        <v>64</v>
      </c>
      <c r="C13" s="20">
        <f t="shared" ref="C13:G13" si="4">C10-C14</f>
        <v>14649</v>
      </c>
      <c r="D13" s="20">
        <f t="shared" si="4"/>
        <v>14785</v>
      </c>
      <c r="E13" s="20">
        <f t="shared" si="4"/>
        <v>20585</v>
      </c>
      <c r="F13" s="20">
        <f t="shared" si="4"/>
        <v>23726</v>
      </c>
      <c r="G13" s="20">
        <f t="shared" si="4"/>
        <v>27825</v>
      </c>
    </row>
    <row r="14" ht="15.0" customHeight="1">
      <c r="B14" s="14" t="s">
        <v>69</v>
      </c>
      <c r="C14" s="18">
        <v>6357.0</v>
      </c>
      <c r="D14" s="18">
        <v>7127.0</v>
      </c>
      <c r="E14" s="18">
        <v>6457.0</v>
      </c>
      <c r="F14" s="18">
        <v>12899.0</v>
      </c>
      <c r="G14" s="18">
        <v>26302.0</v>
      </c>
    </row>
    <row r="15" ht="15.0" customHeight="1">
      <c r="B15" s="19" t="s">
        <v>72</v>
      </c>
      <c r="C15" s="24">
        <f t="shared" ref="C15:G15" si="5">C14/C7</f>
        <v>0.2244861925</v>
      </c>
      <c r="D15" s="24">
        <f t="shared" si="5"/>
        <v>0.2497109422</v>
      </c>
      <c r="E15" s="24">
        <f t="shared" si="5"/>
        <v>0.1892216622</v>
      </c>
      <c r="F15" s="24">
        <f t="shared" si="5"/>
        <v>0.2863708012</v>
      </c>
      <c r="G15" s="24">
        <f t="shared" si="5"/>
        <v>0.4035348809</v>
      </c>
    </row>
    <row r="16">
      <c r="B16" s="11"/>
      <c r="C16" s="9"/>
      <c r="D16" s="9"/>
      <c r="E16" s="9"/>
      <c r="F16" s="9"/>
      <c r="G16" s="9"/>
    </row>
    <row r="17" ht="15.0" customHeight="1">
      <c r="B17" s="14" t="s">
        <v>24</v>
      </c>
      <c r="C17" s="18">
        <v>5582.0</v>
      </c>
      <c r="D17" s="18">
        <v>6245.0</v>
      </c>
      <c r="E17" s="18">
        <v>5240.0</v>
      </c>
      <c r="F17" s="18">
        <v>10590.0</v>
      </c>
      <c r="G17" s="18">
        <v>20640.0</v>
      </c>
    </row>
    <row r="18" ht="15.0" customHeight="1">
      <c r="B18" s="19" t="s">
        <v>76</v>
      </c>
      <c r="C18" s="24">
        <f t="shared" ref="C18:G18" si="6">C17/C7</f>
        <v>0.1971184406</v>
      </c>
      <c r="D18" s="24">
        <f t="shared" si="6"/>
        <v>0.2188080306</v>
      </c>
      <c r="E18" s="24">
        <f t="shared" si="6"/>
        <v>0.1535576134</v>
      </c>
      <c r="F18" s="24">
        <f t="shared" si="6"/>
        <v>0.2351086739</v>
      </c>
      <c r="G18" s="24">
        <f t="shared" si="6"/>
        <v>0.316666411</v>
      </c>
    </row>
    <row r="19">
      <c r="B19" s="11"/>
      <c r="C19" s="9"/>
      <c r="D19" s="9"/>
      <c r="E19" s="9"/>
      <c r="F19" s="9"/>
      <c r="G19" s="9"/>
    </row>
    <row r="20" ht="15.0" customHeight="1">
      <c r="B20" s="19" t="s">
        <v>84</v>
      </c>
      <c r="C20" s="28">
        <v>6.12</v>
      </c>
      <c r="D20" s="28">
        <v>6.9</v>
      </c>
      <c r="E20" s="28">
        <v>5.8</v>
      </c>
      <c r="F20" s="28">
        <v>11.71</v>
      </c>
      <c r="G20" s="28">
        <v>22.95</v>
      </c>
    </row>
    <row r="21" ht="15.0" customHeight="1">
      <c r="B21" s="19" t="s">
        <v>88</v>
      </c>
      <c r="C21" s="20">
        <f t="shared" ref="C21:G21" si="7">C17/C20</f>
        <v>912.0915033</v>
      </c>
      <c r="D21" s="20">
        <f t="shared" si="7"/>
        <v>905.0724638</v>
      </c>
      <c r="E21" s="20">
        <f t="shared" si="7"/>
        <v>903.4482759</v>
      </c>
      <c r="F21" s="20">
        <f t="shared" si="7"/>
        <v>904.3552519</v>
      </c>
      <c r="G21" s="20">
        <f t="shared" si="7"/>
        <v>899.3464052</v>
      </c>
    </row>
    <row r="22" ht="15.75" customHeight="1">
      <c r="B22" s="2"/>
      <c r="C22" s="2"/>
      <c r="D22" s="2"/>
      <c r="E22" s="2"/>
      <c r="F22" s="2"/>
      <c r="G22" s="2"/>
    </row>
    <row r="23" ht="15.0" customHeight="1">
      <c r="B23" s="25" t="s">
        <v>93</v>
      </c>
    </row>
    <row r="24" ht="15.0" customHeight="1">
      <c r="B24" s="29"/>
      <c r="C24" s="29"/>
      <c r="D24" s="29"/>
      <c r="E24" s="29"/>
      <c r="F24" s="29"/>
      <c r="G24" s="2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7" width="12.0"/>
    <col customWidth="1" min="8" max="26" width="8.71"/>
  </cols>
  <sheetData>
    <row r="2" ht="19.5" customHeight="1">
      <c r="B2" s="1" t="s">
        <v>1</v>
      </c>
      <c r="C2" s="2"/>
      <c r="D2" s="2"/>
      <c r="E2" s="2"/>
      <c r="F2" s="2"/>
    </row>
    <row r="3" ht="15.0" customHeight="1">
      <c r="B3" s="3" t="s">
        <v>7</v>
      </c>
    </row>
    <row r="5" ht="15.0" customHeight="1">
      <c r="B5" s="6" t="s">
        <v>8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>
      <c r="B6" s="11"/>
      <c r="C6" s="11"/>
      <c r="D6" s="11"/>
      <c r="E6" s="11"/>
      <c r="F6" s="11"/>
      <c r="G6" s="11"/>
    </row>
    <row r="7" ht="15.0" customHeight="1">
      <c r="B7" s="13" t="s">
        <v>20</v>
      </c>
      <c r="C7" s="16"/>
      <c r="D7" s="16"/>
      <c r="E7" s="16"/>
      <c r="F7" s="16"/>
      <c r="G7" s="16"/>
    </row>
    <row r="8" ht="15.0" customHeight="1">
      <c r="B8" s="19" t="s">
        <v>25</v>
      </c>
      <c r="C8" s="20">
        <v>3909.0</v>
      </c>
      <c r="D8" s="20">
        <v>2212.0</v>
      </c>
      <c r="E8" s="20">
        <v>2928.0</v>
      </c>
      <c r="F8" s="20">
        <v>3268.0</v>
      </c>
      <c r="G8" s="20">
        <v>7268.0</v>
      </c>
    </row>
    <row r="9" ht="15.0" customHeight="1">
      <c r="B9" s="19" t="s">
        <v>32</v>
      </c>
      <c r="C9" s="20">
        <v>8127.0</v>
      </c>
      <c r="D9" s="20">
        <v>8559.0</v>
      </c>
      <c r="E9" s="20">
        <v>11336.0</v>
      </c>
      <c r="F9" s="20">
        <v>13276.0</v>
      </c>
      <c r="G9" s="20">
        <v>20155.0</v>
      </c>
    </row>
    <row r="10" ht="15.0" customHeight="1">
      <c r="B10" s="19" t="s">
        <v>34</v>
      </c>
      <c r="C10" s="20">
        <v>3886.0</v>
      </c>
      <c r="D10" s="20">
        <v>4310.0</v>
      </c>
      <c r="E10" s="20">
        <v>5773.0</v>
      </c>
      <c r="F10" s="20">
        <v>7589.0</v>
      </c>
      <c r="G10" s="20">
        <v>13744.0</v>
      </c>
    </row>
    <row r="11" ht="15.0" customHeight="1">
      <c r="B11" s="19" t="s">
        <v>36</v>
      </c>
      <c r="C11" s="20">
        <v>2531.0</v>
      </c>
      <c r="D11" s="20">
        <v>2954.0</v>
      </c>
      <c r="E11" s="20">
        <v>5690.0</v>
      </c>
      <c r="F11" s="20">
        <v>8607.0</v>
      </c>
      <c r="G11" s="20">
        <v>14462.0</v>
      </c>
    </row>
    <row r="12" ht="15.0" customHeight="1">
      <c r="B12" s="14" t="s">
        <v>38</v>
      </c>
      <c r="C12" s="18">
        <f t="shared" ref="C12:G12" si="1">C8+C9+C10+C11</f>
        <v>18453</v>
      </c>
      <c r="D12" s="18">
        <f t="shared" si="1"/>
        <v>18035</v>
      </c>
      <c r="E12" s="18">
        <f t="shared" si="1"/>
        <v>25727</v>
      </c>
      <c r="F12" s="18">
        <f t="shared" si="1"/>
        <v>32740</v>
      </c>
      <c r="G12" s="18">
        <f t="shared" si="1"/>
        <v>55629</v>
      </c>
    </row>
    <row r="13" ht="15.0" customHeight="1">
      <c r="B13" s="19" t="s">
        <v>50</v>
      </c>
      <c r="C13" s="20">
        <v>8985.0</v>
      </c>
      <c r="D13" s="20">
        <v>10144.0</v>
      </c>
      <c r="E13" s="20">
        <v>12914.0</v>
      </c>
      <c r="F13" s="20">
        <v>17102.0</v>
      </c>
      <c r="G13" s="20">
        <v>24675.0</v>
      </c>
    </row>
    <row r="14" ht="15.0" customHeight="1">
      <c r="B14" s="19" t="s">
        <v>51</v>
      </c>
      <c r="C14" s="20">
        <v>3892.0</v>
      </c>
      <c r="D14" s="20">
        <v>4073.0</v>
      </c>
      <c r="E14" s="20">
        <v>4940.0</v>
      </c>
      <c r="F14" s="20">
        <v>5770.0</v>
      </c>
      <c r="G14" s="20">
        <v>5898.0</v>
      </c>
    </row>
    <row r="15" ht="15.0" customHeight="1">
      <c r="B15" s="19" t="s">
        <v>52</v>
      </c>
      <c r="C15" s="20">
        <v>7692.0</v>
      </c>
      <c r="D15" s="20">
        <v>7207.0</v>
      </c>
      <c r="E15" s="20">
        <v>6907.0</v>
      </c>
      <c r="F15" s="20">
        <v>6166.0</v>
      </c>
      <c r="G15" s="20">
        <v>6521.0</v>
      </c>
    </row>
    <row r="16" ht="15.0" customHeight="1">
      <c r="B16" s="19" t="s">
        <v>53</v>
      </c>
      <c r="C16" s="20">
        <v>3213.0</v>
      </c>
      <c r="D16" s="20">
        <v>2902.0</v>
      </c>
      <c r="E16" s="20">
        <v>3052.0</v>
      </c>
      <c r="F16" s="20">
        <v>3216.0</v>
      </c>
      <c r="G16" s="20">
        <v>2802.0</v>
      </c>
    </row>
    <row r="17" ht="15.0" customHeight="1">
      <c r="B17" s="19" t="s">
        <v>55</v>
      </c>
      <c r="C17" s="20">
        <v>6572.0</v>
      </c>
      <c r="D17" s="20">
        <v>7130.0</v>
      </c>
      <c r="E17" s="20">
        <v>10467.0</v>
      </c>
      <c r="F17" s="20">
        <v>13721.0</v>
      </c>
      <c r="G17" s="20">
        <v>16951.0</v>
      </c>
    </row>
    <row r="18" ht="15.0" customHeight="1">
      <c r="B18" s="14" t="s">
        <v>57</v>
      </c>
      <c r="C18" s="18">
        <f t="shared" ref="C18:G18" si="2">C12+C13+C14+C15+C16+C17</f>
        <v>48807</v>
      </c>
      <c r="D18" s="18">
        <f t="shared" si="2"/>
        <v>49491</v>
      </c>
      <c r="E18" s="18">
        <f t="shared" si="2"/>
        <v>64007</v>
      </c>
      <c r="F18" s="18">
        <f t="shared" si="2"/>
        <v>78715</v>
      </c>
      <c r="G18" s="18">
        <f t="shared" si="2"/>
        <v>112476</v>
      </c>
    </row>
    <row r="19" ht="15.0" customHeight="1">
      <c r="B19" s="13" t="s">
        <v>65</v>
      </c>
      <c r="C19" s="27"/>
      <c r="D19" s="27"/>
      <c r="E19" s="27"/>
      <c r="F19" s="27"/>
      <c r="G19" s="27"/>
    </row>
    <row r="20" ht="15.0" customHeight="1">
      <c r="B20" s="19" t="s">
        <v>68</v>
      </c>
      <c r="C20" s="20">
        <v>1671.0</v>
      </c>
      <c r="D20" s="20">
        <v>1931.0</v>
      </c>
      <c r="E20" s="20">
        <v>2599.0</v>
      </c>
      <c r="F20" s="20">
        <v>3229.0</v>
      </c>
      <c r="G20" s="20">
        <v>5379.0</v>
      </c>
    </row>
    <row r="21" ht="15.0" customHeight="1">
      <c r="B21" s="19" t="s">
        <v>70</v>
      </c>
      <c r="C21" s="20">
        <v>958.1</v>
      </c>
      <c r="D21" s="20">
        <v>1060.0</v>
      </c>
      <c r="E21" s="20">
        <v>1650.0</v>
      </c>
      <c r="F21" s="20">
        <v>2094.0</v>
      </c>
      <c r="G21" s="20">
        <v>2375.0</v>
      </c>
    </row>
    <row r="22" ht="15.0" customHeight="1">
      <c r="B22" s="19" t="s">
        <v>71</v>
      </c>
      <c r="C22" s="20">
        <v>1538.0</v>
      </c>
      <c r="D22" s="20">
        <v>1501.0</v>
      </c>
      <c r="E22" s="20">
        <v>6905.0</v>
      </c>
      <c r="F22" s="20">
        <v>5117.0</v>
      </c>
      <c r="G22" s="20">
        <v>1635.0</v>
      </c>
    </row>
    <row r="23" ht="15.0" customHeight="1">
      <c r="B23" s="19" t="s">
        <v>73</v>
      </c>
      <c r="C23" s="20">
        <v>10886.0</v>
      </c>
      <c r="D23" s="20">
        <v>12647.0</v>
      </c>
      <c r="E23" s="20">
        <v>16140.0</v>
      </c>
      <c r="F23" s="20">
        <v>17936.0</v>
      </c>
      <c r="G23" s="20">
        <v>25839.0</v>
      </c>
    </row>
    <row r="24" ht="15.0" customHeight="1">
      <c r="B24" s="14" t="s">
        <v>74</v>
      </c>
      <c r="C24" s="18">
        <f t="shared" ref="C24:G24" si="3">C20+C21+C22+C23</f>
        <v>15053.1</v>
      </c>
      <c r="D24" s="18">
        <f t="shared" si="3"/>
        <v>17139</v>
      </c>
      <c r="E24" s="18">
        <f t="shared" si="3"/>
        <v>27294</v>
      </c>
      <c r="F24" s="18">
        <f t="shared" si="3"/>
        <v>28376</v>
      </c>
      <c r="G24" s="18">
        <f t="shared" si="3"/>
        <v>35228</v>
      </c>
    </row>
    <row r="25" ht="15.0" customHeight="1">
      <c r="B25" s="19" t="s">
        <v>77</v>
      </c>
      <c r="C25" s="20">
        <v>15346.0</v>
      </c>
      <c r="D25" s="20">
        <v>14738.0</v>
      </c>
      <c r="E25" s="20">
        <v>18321.0</v>
      </c>
      <c r="F25" s="20">
        <v>28527.0</v>
      </c>
      <c r="G25" s="20">
        <v>40868.0</v>
      </c>
    </row>
    <row r="26" ht="15.0" customHeight="1">
      <c r="B26" s="19" t="s">
        <v>79</v>
      </c>
      <c r="C26" s="20">
        <v>9252.0</v>
      </c>
      <c r="D26" s="20">
        <v>6839.0</v>
      </c>
      <c r="E26" s="20">
        <v>7529.0</v>
      </c>
      <c r="F26" s="20">
        <v>7540.0</v>
      </c>
      <c r="G26" s="20">
        <v>9845.0</v>
      </c>
    </row>
    <row r="27" ht="15.0" customHeight="1">
      <c r="B27" s="14" t="s">
        <v>81</v>
      </c>
      <c r="C27" s="18">
        <f t="shared" ref="C27:G27" si="4">C24+C25+C26</f>
        <v>39651.1</v>
      </c>
      <c r="D27" s="18">
        <f t="shared" si="4"/>
        <v>38716</v>
      </c>
      <c r="E27" s="18">
        <f t="shared" si="4"/>
        <v>53144</v>
      </c>
      <c r="F27" s="18">
        <f t="shared" si="4"/>
        <v>64443</v>
      </c>
      <c r="G27" s="18">
        <f t="shared" si="4"/>
        <v>85941</v>
      </c>
    </row>
    <row r="28" ht="15.0" customHeight="1">
      <c r="B28" s="13" t="s">
        <v>87</v>
      </c>
      <c r="C28" s="27"/>
      <c r="D28" s="27"/>
      <c r="E28" s="27"/>
      <c r="F28" s="27"/>
      <c r="G28" s="27"/>
    </row>
    <row r="29" ht="15.0" customHeight="1">
      <c r="B29" s="19" t="s">
        <v>89</v>
      </c>
      <c r="C29" s="20">
        <v>9155.0</v>
      </c>
      <c r="D29" s="20">
        <v>10775.0</v>
      </c>
      <c r="E29" s="20">
        <v>10864.0</v>
      </c>
      <c r="F29" s="20">
        <v>14272.0</v>
      </c>
      <c r="G29" s="20">
        <v>26535.0</v>
      </c>
    </row>
    <row r="30" ht="15.0" customHeight="1">
      <c r="B30" s="14" t="s">
        <v>90</v>
      </c>
      <c r="C30" s="18">
        <f t="shared" ref="C30:G30" si="5">C27+C29</f>
        <v>48806.1</v>
      </c>
      <c r="D30" s="18">
        <f t="shared" si="5"/>
        <v>49491</v>
      </c>
      <c r="E30" s="18">
        <f t="shared" si="5"/>
        <v>64008</v>
      </c>
      <c r="F30" s="18">
        <f t="shared" si="5"/>
        <v>78715</v>
      </c>
      <c r="G30" s="18">
        <f t="shared" si="5"/>
        <v>112476</v>
      </c>
    </row>
    <row r="31" ht="15.75" customHeight="1">
      <c r="B31" s="11"/>
      <c r="C31" s="9"/>
      <c r="D31" s="9"/>
      <c r="E31" s="9"/>
      <c r="F31" s="9"/>
      <c r="G31" s="9"/>
    </row>
    <row r="32" ht="15.0" customHeight="1">
      <c r="B32" s="9" t="s">
        <v>94</v>
      </c>
      <c r="C32" s="30">
        <f t="shared" ref="C32:G32" si="6">C18-C30</f>
        <v>0.9</v>
      </c>
      <c r="D32" s="30">
        <f t="shared" si="6"/>
        <v>0</v>
      </c>
      <c r="E32" s="30">
        <f t="shared" si="6"/>
        <v>-1</v>
      </c>
      <c r="F32" s="30">
        <f t="shared" si="6"/>
        <v>0</v>
      </c>
      <c r="G32" s="30">
        <f t="shared" si="6"/>
        <v>0</v>
      </c>
    </row>
    <row r="33" ht="15.75" customHeight="1">
      <c r="B33" s="2"/>
      <c r="C33" s="3"/>
      <c r="D33" s="3"/>
      <c r="E33" s="3"/>
      <c r="F33" s="3"/>
      <c r="G33" s="3"/>
    </row>
    <row r="34" ht="15.75" customHeight="1">
      <c r="B34" s="2"/>
      <c r="C34" s="2"/>
      <c r="D34" s="2"/>
      <c r="E34" s="2"/>
      <c r="F34" s="2"/>
      <c r="G34" s="2"/>
    </row>
    <row r="35" ht="15.75" customHeight="1">
      <c r="B35" s="2"/>
      <c r="C35" s="2"/>
      <c r="D35" s="2"/>
      <c r="E35" s="2"/>
      <c r="F35" s="2"/>
      <c r="G35" s="2"/>
    </row>
    <row r="36" ht="15.75" customHeight="1">
      <c r="B36" s="2"/>
      <c r="C36" s="2"/>
      <c r="D36" s="2"/>
      <c r="E36" s="2"/>
      <c r="F36" s="2"/>
      <c r="G36" s="2"/>
    </row>
    <row r="37" ht="15.75" customHeight="1">
      <c r="B37" s="2"/>
      <c r="C37" s="2"/>
      <c r="D37" s="2"/>
      <c r="E37" s="2"/>
      <c r="F37" s="2"/>
      <c r="G37" s="2"/>
    </row>
    <row r="38" ht="15.75" customHeight="1">
      <c r="B38" s="2"/>
      <c r="C38" s="2"/>
      <c r="D38" s="2"/>
      <c r="E38" s="2"/>
      <c r="F38" s="2"/>
      <c r="G38" s="2"/>
    </row>
    <row r="39" ht="15.75" customHeight="1">
      <c r="B39" s="2"/>
      <c r="C39" s="2"/>
      <c r="D39" s="2"/>
      <c r="E39" s="2"/>
      <c r="F39" s="2"/>
      <c r="G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7" width="12.0"/>
    <col customWidth="1" min="8" max="26" width="8.71"/>
  </cols>
  <sheetData>
    <row r="2" ht="19.5" customHeight="1">
      <c r="B2" s="1" t="s">
        <v>0</v>
      </c>
    </row>
    <row r="3" ht="15.0" customHeight="1">
      <c r="B3" s="3" t="s">
        <v>4</v>
      </c>
    </row>
    <row r="5" ht="15.0" customHeight="1">
      <c r="B5" s="5" t="s">
        <v>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>
      <c r="B6" s="9"/>
      <c r="C6" s="9"/>
      <c r="D6" s="9"/>
      <c r="E6" s="9"/>
      <c r="F6" s="9"/>
      <c r="G6" s="9"/>
    </row>
    <row r="7" ht="15.0" customHeight="1">
      <c r="B7" s="12" t="s">
        <v>18</v>
      </c>
      <c r="C7" s="15"/>
      <c r="D7" s="15"/>
      <c r="E7" s="15"/>
      <c r="F7" s="15"/>
      <c r="G7" s="15"/>
    </row>
    <row r="8" ht="15.0" customHeight="1">
      <c r="B8" s="19" t="s">
        <v>24</v>
      </c>
      <c r="C8" s="20">
        <v>5582.0</v>
      </c>
      <c r="D8" s="20">
        <v>6245.0</v>
      </c>
      <c r="E8" s="20">
        <v>5240.0</v>
      </c>
      <c r="F8" s="20">
        <v>10590.0</v>
      </c>
      <c r="G8" s="20">
        <v>20640.0</v>
      </c>
    </row>
    <row r="9" ht="15.0" customHeight="1">
      <c r="B9" s="19" t="s">
        <v>33</v>
      </c>
      <c r="C9" s="20">
        <v>1548.0</v>
      </c>
      <c r="D9" s="20">
        <v>1523.0</v>
      </c>
      <c r="E9" s="20">
        <v>1527.0</v>
      </c>
      <c r="F9" s="20">
        <v>1767.0</v>
      </c>
      <c r="G9" s="20">
        <v>1997.0</v>
      </c>
    </row>
    <row r="10" ht="15.0" customHeight="1">
      <c r="B10" s="19" t="s">
        <v>35</v>
      </c>
      <c r="C10" s="20">
        <v>342.8</v>
      </c>
      <c r="D10" s="20">
        <v>371.1</v>
      </c>
      <c r="E10" s="20">
        <v>629.0</v>
      </c>
      <c r="F10" s="20">
        <v>646.0</v>
      </c>
      <c r="G10" s="20">
        <v>626.0</v>
      </c>
    </row>
    <row r="11" ht="15.0" customHeight="1">
      <c r="B11" s="19" t="s">
        <v>37</v>
      </c>
      <c r="C11" s="20">
        <v>179.0</v>
      </c>
      <c r="D11" s="20">
        <v>-1013.0</v>
      </c>
      <c r="E11" s="20">
        <v>-420.0</v>
      </c>
      <c r="F11" s="20">
        <v>373.0</v>
      </c>
      <c r="G11" s="20">
        <v>1023.0</v>
      </c>
    </row>
    <row r="12" ht="15.0" customHeight="1">
      <c r="B12" s="19" t="s">
        <v>39</v>
      </c>
      <c r="C12" s="20">
        <v>-1278.0</v>
      </c>
      <c r="D12" s="20">
        <v>-299.6</v>
      </c>
      <c r="E12" s="20">
        <v>-2451.0</v>
      </c>
      <c r="F12" s="20">
        <v>-2155.0</v>
      </c>
      <c r="G12" s="20">
        <v>-7000.0</v>
      </c>
    </row>
    <row r="13" ht="15.0" customHeight="1">
      <c r="B13" s="19" t="s">
        <v>40</v>
      </c>
      <c r="C13" s="20">
        <v>-235.9</v>
      </c>
      <c r="D13" s="20">
        <v>-599.7</v>
      </c>
      <c r="E13" s="20">
        <v>-1425.0</v>
      </c>
      <c r="F13" s="20">
        <v>-2507.0</v>
      </c>
      <c r="G13" s="20">
        <v>-4671.0</v>
      </c>
    </row>
    <row r="14" ht="15.0" customHeight="1">
      <c r="B14" s="19" t="s">
        <v>41</v>
      </c>
      <c r="C14" s="20">
        <v>-1014.0</v>
      </c>
      <c r="D14" s="20">
        <v>1692.0</v>
      </c>
      <c r="E14" s="20">
        <v>4274.0</v>
      </c>
      <c r="F14" s="20">
        <v>2609.0</v>
      </c>
      <c r="G14" s="20">
        <v>10187.0</v>
      </c>
    </row>
    <row r="15" ht="15.0" customHeight="1">
      <c r="B15" s="19" t="s">
        <v>42</v>
      </c>
      <c r="C15" s="20">
        <v>2243.0</v>
      </c>
      <c r="D15" s="20">
        <v>-332.2</v>
      </c>
      <c r="E15" s="20">
        <v>-3134.0</v>
      </c>
      <c r="F15" s="20">
        <v>-2505.0</v>
      </c>
      <c r="G15" s="20">
        <v>-5989.0</v>
      </c>
    </row>
    <row r="16" ht="15.0" customHeight="1">
      <c r="B16" s="14" t="s">
        <v>45</v>
      </c>
      <c r="C16" s="18">
        <f t="shared" ref="C16:G16" si="1">C8+C9+C10+C11+C12+C13+C14+C15</f>
        <v>7366.9</v>
      </c>
      <c r="D16" s="18">
        <f t="shared" si="1"/>
        <v>7586.6</v>
      </c>
      <c r="E16" s="18">
        <f t="shared" si="1"/>
        <v>4240</v>
      </c>
      <c r="F16" s="18">
        <f t="shared" si="1"/>
        <v>8818</v>
      </c>
      <c r="G16" s="18">
        <f t="shared" si="1"/>
        <v>16813</v>
      </c>
    </row>
    <row r="17" ht="15.0" customHeight="1">
      <c r="B17" s="12" t="s">
        <v>58</v>
      </c>
      <c r="C17" s="15"/>
      <c r="D17" s="15"/>
      <c r="E17" s="15"/>
      <c r="F17" s="15"/>
      <c r="G17" s="15"/>
    </row>
    <row r="18" ht="15.0" customHeight="1">
      <c r="B18" s="19" t="s">
        <v>59</v>
      </c>
      <c r="C18" s="20">
        <v>-1310.0</v>
      </c>
      <c r="D18" s="20">
        <v>-1854.0</v>
      </c>
      <c r="E18" s="20">
        <v>-3448.0</v>
      </c>
      <c r="F18" s="20">
        <v>-5058.0</v>
      </c>
      <c r="G18" s="20">
        <v>-7841.0</v>
      </c>
    </row>
    <row r="19" ht="15.0" customHeight="1">
      <c r="B19" s="19" t="s">
        <v>60</v>
      </c>
      <c r="C19" s="20">
        <v>-668.6</v>
      </c>
      <c r="D19" s="20">
        <v>-1131.0</v>
      </c>
      <c r="E19" s="20">
        <v>-3944.0</v>
      </c>
      <c r="F19" s="20">
        <v>-3346.0</v>
      </c>
      <c r="G19" s="20">
        <v>-3008.0</v>
      </c>
    </row>
    <row r="20" ht="15.0" customHeight="1">
      <c r="B20" s="19" t="s">
        <v>61</v>
      </c>
      <c r="C20" s="20">
        <v>216.0</v>
      </c>
      <c r="D20" s="20">
        <v>95.8</v>
      </c>
      <c r="E20" s="20">
        <v>1604.0</v>
      </c>
      <c r="F20" s="20">
        <v>601.0</v>
      </c>
      <c r="G20" s="20">
        <v>218.0</v>
      </c>
    </row>
    <row r="21" ht="15.0" customHeight="1">
      <c r="B21" s="19" t="s">
        <v>62</v>
      </c>
      <c r="C21" s="20">
        <v>-165.6</v>
      </c>
      <c r="D21" s="20">
        <v>-244.0</v>
      </c>
      <c r="E21" s="20">
        <v>-223.0</v>
      </c>
      <c r="F21" s="20">
        <v>-303.0</v>
      </c>
      <c r="G21" s="20">
        <v>319.0</v>
      </c>
    </row>
    <row r="22" ht="15.0" customHeight="1">
      <c r="B22" s="19" t="s">
        <v>63</v>
      </c>
      <c r="C22" s="20">
        <v>-747.4</v>
      </c>
      <c r="D22" s="20">
        <v>-327.2</v>
      </c>
      <c r="E22" s="20">
        <v>-1044.0</v>
      </c>
      <c r="F22" s="20">
        <v>-948.0</v>
      </c>
      <c r="G22" s="20">
        <v>-661.0</v>
      </c>
    </row>
    <row r="23" ht="15.0" customHeight="1">
      <c r="B23" s="19" t="s">
        <v>66</v>
      </c>
      <c r="C23" s="20">
        <v>-191.7</v>
      </c>
      <c r="D23" s="20">
        <v>-302.2</v>
      </c>
      <c r="E23" s="20">
        <v>-98.0</v>
      </c>
      <c r="F23" s="20">
        <v>-248.0</v>
      </c>
      <c r="G23" s="20">
        <v>1.0</v>
      </c>
    </row>
    <row r="24" ht="15.0" customHeight="1">
      <c r="B24" s="14" t="s">
        <v>67</v>
      </c>
      <c r="C24" s="18">
        <f t="shared" ref="C24:G24" si="2">C18+C19+C20+C21+C22+C23</f>
        <v>-2867.3</v>
      </c>
      <c r="D24" s="18">
        <f t="shared" si="2"/>
        <v>-3762.6</v>
      </c>
      <c r="E24" s="18">
        <f t="shared" si="2"/>
        <v>-7153</v>
      </c>
      <c r="F24" s="18">
        <f t="shared" si="2"/>
        <v>-9302</v>
      </c>
      <c r="G24" s="18">
        <f t="shared" si="2"/>
        <v>-10972</v>
      </c>
    </row>
    <row r="25" ht="15.0" customHeight="1">
      <c r="B25" s="12" t="s">
        <v>75</v>
      </c>
      <c r="C25" s="15"/>
      <c r="D25" s="15"/>
      <c r="E25" s="15"/>
      <c r="F25" s="15"/>
      <c r="G25" s="15"/>
    </row>
    <row r="26" ht="15.0" customHeight="1">
      <c r="B26" s="19" t="s">
        <v>78</v>
      </c>
      <c r="C26" s="20">
        <v>-4.0</v>
      </c>
      <c r="D26" s="20">
        <v>1498.0</v>
      </c>
      <c r="E26" s="20">
        <v>4691.0</v>
      </c>
      <c r="F26" s="20">
        <v>-1852.0</v>
      </c>
      <c r="G26" s="20">
        <v>-4338.0</v>
      </c>
    </row>
    <row r="27" ht="15.0" customHeight="1">
      <c r="B27" s="19" t="s">
        <v>80</v>
      </c>
      <c r="C27" s="20">
        <v>505.4</v>
      </c>
      <c r="D27" s="20">
        <v>-1560.0</v>
      </c>
      <c r="E27" s="20">
        <v>3959.0</v>
      </c>
      <c r="F27" s="20">
        <v>10753.0</v>
      </c>
      <c r="G27" s="20">
        <v>12389.0</v>
      </c>
    </row>
    <row r="28" ht="15.0" customHeight="1">
      <c r="B28" s="19" t="s">
        <v>82</v>
      </c>
      <c r="C28" s="20">
        <v>-1250.0</v>
      </c>
      <c r="D28" s="20">
        <v>-1500.0</v>
      </c>
      <c r="E28" s="20">
        <v>-750.0</v>
      </c>
      <c r="F28" s="20">
        <v>-2500.0</v>
      </c>
      <c r="G28" s="20">
        <v>-4108.0</v>
      </c>
    </row>
    <row r="29" ht="15.0" customHeight="1">
      <c r="B29" s="19" t="s">
        <v>83</v>
      </c>
      <c r="C29" s="20">
        <v>-3087.0</v>
      </c>
      <c r="D29" s="20">
        <v>-3536.0</v>
      </c>
      <c r="E29" s="20">
        <v>-4069.0</v>
      </c>
      <c r="F29" s="20">
        <v>-4680.0</v>
      </c>
      <c r="G29" s="20">
        <v>-5384.0</v>
      </c>
    </row>
    <row r="30" ht="15.0" customHeight="1">
      <c r="B30" s="19" t="s">
        <v>85</v>
      </c>
      <c r="C30" s="20">
        <v>-295.9</v>
      </c>
      <c r="D30" s="20">
        <v>-308.9</v>
      </c>
      <c r="E30" s="20">
        <v>-335.0</v>
      </c>
      <c r="F30" s="20">
        <v>-491.0</v>
      </c>
      <c r="G30" s="20">
        <v>-772.0</v>
      </c>
    </row>
    <row r="31" ht="15.0" customHeight="1">
      <c r="B31" s="14" t="s">
        <v>86</v>
      </c>
      <c r="C31" s="18">
        <f t="shared" ref="C31:G31" si="3">C26+C27+C28+C29+C30+C32</f>
        <v>-4337.2</v>
      </c>
      <c r="D31" s="18">
        <f t="shared" si="3"/>
        <v>-5574.5</v>
      </c>
      <c r="E31" s="18">
        <f t="shared" si="3"/>
        <v>3665</v>
      </c>
      <c r="F31" s="18">
        <f t="shared" si="3"/>
        <v>933</v>
      </c>
      <c r="G31" s="18">
        <f t="shared" si="3"/>
        <v>-1841</v>
      </c>
    </row>
    <row r="32" ht="15.0" customHeight="1">
      <c r="B32" s="19" t="s">
        <v>91</v>
      </c>
      <c r="C32" s="20">
        <v>-205.7</v>
      </c>
      <c r="D32" s="20">
        <v>-167.6</v>
      </c>
      <c r="E32" s="20">
        <v>169.0</v>
      </c>
      <c r="F32" s="20">
        <v>-297.0</v>
      </c>
      <c r="G32" s="20">
        <v>372.0</v>
      </c>
    </row>
    <row r="33" ht="15.0" customHeight="1">
      <c r="B33" s="14" t="s">
        <v>92</v>
      </c>
      <c r="C33" s="18">
        <f t="shared" ref="C33:G33" si="4">C16+C24+C31+C32</f>
        <v>-43.3</v>
      </c>
      <c r="D33" s="18">
        <f t="shared" si="4"/>
        <v>-1918.1</v>
      </c>
      <c r="E33" s="18">
        <f t="shared" si="4"/>
        <v>921</v>
      </c>
      <c r="F33" s="18">
        <f t="shared" si="4"/>
        <v>152</v>
      </c>
      <c r="G33" s="18">
        <f t="shared" si="4"/>
        <v>4372</v>
      </c>
    </row>
    <row r="34" ht="15.75" customHeight="1">
      <c r="B34" s="9"/>
      <c r="C34" s="9"/>
      <c r="D34" s="9"/>
      <c r="E34" s="9"/>
      <c r="F34" s="9"/>
      <c r="G34" s="9"/>
    </row>
    <row r="35" ht="15.0" customHeight="1">
      <c r="B35" s="19" t="s">
        <v>95</v>
      </c>
      <c r="C35" s="20">
        <v>-1310.0</v>
      </c>
      <c r="D35" s="20">
        <v>-1854.0</v>
      </c>
      <c r="E35" s="20">
        <v>-3448.0</v>
      </c>
      <c r="F35" s="20">
        <v>-5058.0</v>
      </c>
      <c r="G35" s="20">
        <v>-7841.0</v>
      </c>
    </row>
    <row r="36" ht="15.0" customHeight="1">
      <c r="B36" s="14" t="s">
        <v>96</v>
      </c>
      <c r="C36" s="18">
        <f t="shared" ref="C36:G36" si="5">C16+C35</f>
        <v>6056.9</v>
      </c>
      <c r="D36" s="18">
        <f t="shared" si="5"/>
        <v>5732.6</v>
      </c>
      <c r="E36" s="18">
        <f t="shared" si="5"/>
        <v>792</v>
      </c>
      <c r="F36" s="18">
        <f t="shared" si="5"/>
        <v>3760</v>
      </c>
      <c r="G36" s="18">
        <f t="shared" si="5"/>
        <v>8972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7" width="12.0"/>
    <col customWidth="1" min="8" max="26" width="8.71"/>
  </cols>
  <sheetData>
    <row r="2" ht="19.5" customHeight="1">
      <c r="B2" s="1" t="s">
        <v>97</v>
      </c>
    </row>
    <row r="3" ht="15.0" customHeight="1">
      <c r="B3" s="4" t="s">
        <v>98</v>
      </c>
      <c r="C3" s="2"/>
      <c r="D3" s="2"/>
      <c r="E3" s="2"/>
      <c r="F3" s="2"/>
      <c r="G3" s="2"/>
    </row>
    <row r="4">
      <c r="B4" s="2"/>
      <c r="C4" s="2"/>
      <c r="D4" s="2"/>
      <c r="E4" s="2"/>
      <c r="F4" s="2"/>
      <c r="G4" s="2"/>
    </row>
    <row r="5" ht="15.0" customHeight="1">
      <c r="B5" s="6" t="s">
        <v>99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>
      <c r="B6" s="11"/>
      <c r="C6" s="11"/>
      <c r="D6" s="11"/>
      <c r="E6" s="11"/>
      <c r="F6" s="11"/>
      <c r="G6" s="11"/>
    </row>
    <row r="7" ht="15.0" customHeight="1">
      <c r="B7" s="31" t="s">
        <v>100</v>
      </c>
      <c r="C7" s="32"/>
      <c r="D7" s="32"/>
      <c r="E7" s="32"/>
      <c r="F7" s="32"/>
      <c r="G7" s="32"/>
    </row>
    <row r="8" ht="15.0" customHeight="1">
      <c r="B8" s="9" t="s">
        <v>101</v>
      </c>
      <c r="C8" s="33">
        <f>'Balance Sheet'!C9/'Income Statement'!C7*365</f>
        <v>104.7515714</v>
      </c>
      <c r="D8" s="33">
        <f>'Balance Sheet'!D9/'Income Statement'!D7*365</f>
        <v>109.4577976</v>
      </c>
      <c r="E8" s="33">
        <f>'Balance Sheet'!E9/'Income Statement'!E7*365</f>
        <v>121.253077</v>
      </c>
      <c r="F8" s="33">
        <f>'Balance Sheet'!F9/'Income Statement'!F7*365</f>
        <v>107.5803121</v>
      </c>
      <c r="G8" s="33">
        <f>'Balance Sheet'!G9/'Income Statement'!G7*365</f>
        <v>112.8672579</v>
      </c>
    </row>
    <row r="9" ht="15.0" customHeight="1">
      <c r="B9" s="9" t="s">
        <v>102</v>
      </c>
      <c r="C9" s="33">
        <f>'Balance Sheet'!C10/'Income Statement'!C9*365</f>
        <v>193.9811269</v>
      </c>
      <c r="D9" s="33">
        <f>'Balance Sheet'!D10/'Income Statement'!D9*365</f>
        <v>237.3133203</v>
      </c>
      <c r="E9" s="33">
        <f>'Balance Sheet'!E10/'Income Statement'!E9*365</f>
        <v>297.5353008</v>
      </c>
      <c r="F9" s="33">
        <f>'Balance Sheet'!F10/'Income Statement'!F9*365</f>
        <v>329.0550012</v>
      </c>
      <c r="G9" s="33">
        <f>'Balance Sheet'!G10/'Income Statement'!G9*365</f>
        <v>453.9051755</v>
      </c>
    </row>
    <row r="10" ht="15.0" customHeight="1">
      <c r="B10" s="9" t="s">
        <v>106</v>
      </c>
      <c r="C10" s="33">
        <f>'Balance Sheet'!C20/'Income Statement'!C9*365</f>
        <v>83.41288293</v>
      </c>
      <c r="D10" s="33">
        <f>'Balance Sheet'!D20/'Income Statement'!D9*365</f>
        <v>106.3229748</v>
      </c>
      <c r="E10" s="33">
        <f>'Balance Sheet'!E20/'Income Statement'!E9*365</f>
        <v>133.9501553</v>
      </c>
      <c r="F10" s="33">
        <f>'Balance Sheet'!F20/'Income Statement'!F9*365</f>
        <v>140.0077215</v>
      </c>
      <c r="G10" s="33">
        <f>'Balance Sheet'!G20/'Income Statement'!G9*365</f>
        <v>177.6452226</v>
      </c>
    </row>
    <row r="11" ht="15.0" customHeight="1">
      <c r="B11" s="37" t="s">
        <v>127</v>
      </c>
      <c r="C11" s="43">
        <f t="shared" ref="C11:G11" si="1">C8+C9-C10</f>
        <v>215.3198154</v>
      </c>
      <c r="D11" s="43">
        <f t="shared" si="1"/>
        <v>240.448143</v>
      </c>
      <c r="E11" s="43">
        <f t="shared" si="1"/>
        <v>284.8382225</v>
      </c>
      <c r="F11" s="43">
        <f t="shared" si="1"/>
        <v>296.6275918</v>
      </c>
      <c r="G11" s="43">
        <f t="shared" si="1"/>
        <v>389.1272108</v>
      </c>
    </row>
    <row r="12">
      <c r="B12" s="11"/>
      <c r="C12" s="11"/>
      <c r="D12" s="11"/>
      <c r="E12" s="11"/>
      <c r="F12" s="11"/>
      <c r="G12" s="11"/>
    </row>
    <row r="13" ht="15.0" customHeight="1">
      <c r="B13" s="9" t="s">
        <v>137</v>
      </c>
      <c r="C13" s="53">
        <f>'Balance Sheet'!C12-'Balance Sheet'!C24</f>
        <v>3399.9</v>
      </c>
      <c r="D13" s="53">
        <f>'Balance Sheet'!D12-'Balance Sheet'!D24</f>
        <v>896</v>
      </c>
      <c r="E13" s="53">
        <f>'Balance Sheet'!E12-'Balance Sheet'!E24</f>
        <v>-1567</v>
      </c>
      <c r="F13" s="53">
        <f>'Balance Sheet'!F12-'Balance Sheet'!F24</f>
        <v>4364</v>
      </c>
      <c r="G13" s="53">
        <f>'Balance Sheet'!G12-'Balance Sheet'!G24</f>
        <v>20401</v>
      </c>
    </row>
    <row r="14">
      <c r="B14" s="11"/>
      <c r="C14" s="11"/>
      <c r="D14" s="11"/>
      <c r="E14" s="11"/>
      <c r="F14" s="11"/>
      <c r="G14" s="11"/>
    </row>
    <row r="15" ht="15.0" customHeight="1">
      <c r="B15" s="31" t="s">
        <v>143</v>
      </c>
      <c r="C15" s="32"/>
      <c r="D15" s="32"/>
      <c r="E15" s="32"/>
      <c r="F15" s="32"/>
      <c r="G15" s="32"/>
    </row>
    <row r="16" ht="15.0" customHeight="1">
      <c r="B16" s="9" t="s">
        <v>56</v>
      </c>
      <c r="C16" s="64">
        <f>'Income Statement'!C10/'Income Statement'!C7</f>
        <v>0.7417896744</v>
      </c>
      <c r="D16" s="64">
        <f>'Income Statement'!D10/'Income Statement'!D7</f>
        <v>0.7677376406</v>
      </c>
      <c r="E16" s="64">
        <f>'Income Statement'!E10/'Income Statement'!E7</f>
        <v>0.7924627828</v>
      </c>
      <c r="F16" s="64">
        <f>'Income Statement'!F10/'Income Statement'!F7</f>
        <v>0.8131119153</v>
      </c>
      <c r="G16" s="64">
        <f>'Income Statement'!G10/'Income Statement'!G7</f>
        <v>0.8304361834</v>
      </c>
    </row>
    <row r="17" ht="15.0" customHeight="1">
      <c r="B17" s="9" t="s">
        <v>72</v>
      </c>
      <c r="C17" s="64">
        <f>'Income Statement'!C14/'Income Statement'!C7</f>
        <v>0.2244861925</v>
      </c>
      <c r="D17" s="64">
        <f>'Income Statement'!D14/'Income Statement'!D7</f>
        <v>0.2497109422</v>
      </c>
      <c r="E17" s="64">
        <f>'Income Statement'!E14/'Income Statement'!E7</f>
        <v>0.1892216622</v>
      </c>
      <c r="F17" s="64">
        <f>'Income Statement'!F14/'Income Statement'!F7</f>
        <v>0.2863708012</v>
      </c>
      <c r="G17" s="64">
        <f>'Income Statement'!G14/'Income Statement'!G7</f>
        <v>0.4035348809</v>
      </c>
    </row>
    <row r="18" ht="15.0" customHeight="1">
      <c r="B18" s="9" t="s">
        <v>76</v>
      </c>
      <c r="C18" s="64">
        <f>'Income Statement'!C17/'Income Statement'!C7</f>
        <v>0.1971184406</v>
      </c>
      <c r="D18" s="64">
        <f>'Income Statement'!D17/'Income Statement'!D7</f>
        <v>0.2188080306</v>
      </c>
      <c r="E18" s="64">
        <f>'Income Statement'!E17/'Income Statement'!E7</f>
        <v>0.1535576134</v>
      </c>
      <c r="F18" s="64">
        <f>'Income Statement'!F17/'Income Statement'!F7</f>
        <v>0.2351086739</v>
      </c>
      <c r="G18" s="64">
        <f>'Income Statement'!G17/'Income Statement'!G7</f>
        <v>0.316666411</v>
      </c>
    </row>
    <row r="19" ht="15.0" customHeight="1">
      <c r="B19" s="9" t="s">
        <v>165</v>
      </c>
      <c r="C19" s="64">
        <f>'Income Statement'!C17/'Balance Sheet'!C29</f>
        <v>0.6097214637</v>
      </c>
      <c r="D19" s="64">
        <f>'Income Statement'!D17/'Balance Sheet'!D29</f>
        <v>0.5795823666</v>
      </c>
      <c r="E19" s="64">
        <f>'Income Statement'!E17/'Balance Sheet'!E29</f>
        <v>0.4823269514</v>
      </c>
      <c r="F19" s="64">
        <f>'Income Statement'!F17/'Balance Sheet'!F29</f>
        <v>0.7420123318</v>
      </c>
      <c r="G19" s="64">
        <f>'Income Statement'!G17/'Balance Sheet'!G29</f>
        <v>0.7778405879</v>
      </c>
    </row>
    <row r="20" ht="15.0" customHeight="1">
      <c r="B20" s="9" t="s">
        <v>166</v>
      </c>
      <c r="C20" s="64">
        <f>'Income Statement'!C17/'Balance Sheet'!C18</f>
        <v>0.1143688405</v>
      </c>
      <c r="D20" s="64">
        <f>'Income Statement'!D17/'Balance Sheet'!D18</f>
        <v>0.1261845588</v>
      </c>
      <c r="E20" s="64">
        <f>'Income Statement'!E17/'Balance Sheet'!E18</f>
        <v>0.0818660459</v>
      </c>
      <c r="F20" s="64">
        <f>'Income Statement'!F17/'Balance Sheet'!F18</f>
        <v>0.1345359842</v>
      </c>
      <c r="G20" s="64">
        <f>'Income Statement'!G17/'Balance Sheet'!G18</f>
        <v>0.1835058146</v>
      </c>
    </row>
    <row r="21" ht="15.0" customHeight="1">
      <c r="B21" s="9" t="s">
        <v>167</v>
      </c>
      <c r="C21" s="75">
        <f>'Balance Sheet'!C12/'Balance Sheet'!C24</f>
        <v>1.225860454</v>
      </c>
      <c r="D21" s="75">
        <f>'Balance Sheet'!D12/'Balance Sheet'!D24</f>
        <v>1.052278429</v>
      </c>
      <c r="E21" s="75">
        <f>'Balance Sheet'!E12/'Balance Sheet'!E24</f>
        <v>0.9425881146</v>
      </c>
      <c r="F21" s="75">
        <f>'Balance Sheet'!F12/'Balance Sheet'!F24</f>
        <v>1.153791937</v>
      </c>
      <c r="G21" s="75">
        <f>'Balance Sheet'!G12/'Balance Sheet'!G24</f>
        <v>1.579113205</v>
      </c>
    </row>
    <row r="22" ht="15.0" customHeight="1">
      <c r="B22" s="9" t="s">
        <v>169</v>
      </c>
      <c r="C22" s="75">
        <f>('Balance Sheet'!C22+'Balance Sheet'!C25)/'Balance Sheet'!C29</f>
        <v>1.844238121</v>
      </c>
      <c r="D22" s="75">
        <f>('Balance Sheet'!D22+'Balance Sheet'!D25)/'Balance Sheet'!D29</f>
        <v>1.507099768</v>
      </c>
      <c r="E22" s="75">
        <f>('Balance Sheet'!E22+'Balance Sheet'!E25)/'Balance Sheet'!E29</f>
        <v>2.321980854</v>
      </c>
      <c r="F22" s="75">
        <f>('Balance Sheet'!F22+'Balance Sheet'!F25)/'Balance Sheet'!F29</f>
        <v>2.357343049</v>
      </c>
      <c r="G22" s="75">
        <f>('Balance Sheet'!G22+'Balance Sheet'!G25)/'Balance Sheet'!G29</f>
        <v>1.601771246</v>
      </c>
    </row>
    <row r="23" ht="15.75" customHeight="1">
      <c r="B23" s="2"/>
      <c r="C23" s="2"/>
      <c r="D23" s="2"/>
      <c r="E23" s="2"/>
      <c r="F23" s="2"/>
      <c r="G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2.71"/>
    <col customWidth="1" min="3" max="7" width="12.0"/>
    <col customWidth="1" min="8" max="26" width="8.71"/>
  </cols>
  <sheetData>
    <row r="2" ht="19.5" customHeight="1">
      <c r="B2" s="1" t="s">
        <v>103</v>
      </c>
    </row>
    <row r="3" ht="15.0" customHeight="1">
      <c r="B3" s="4" t="s">
        <v>104</v>
      </c>
      <c r="C3" s="2"/>
      <c r="D3" s="2"/>
      <c r="E3" s="2"/>
      <c r="F3" s="2"/>
      <c r="G3" s="2"/>
    </row>
    <row r="4">
      <c r="B4" s="2"/>
      <c r="C4" s="2"/>
      <c r="D4" s="2"/>
      <c r="E4" s="2"/>
      <c r="F4" s="2"/>
      <c r="G4" s="2"/>
    </row>
    <row r="5" ht="15.0" customHeight="1">
      <c r="B5" s="6" t="s">
        <v>105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ht="15.0" customHeight="1">
      <c r="B6" s="9" t="s">
        <v>107</v>
      </c>
      <c r="C6" s="30">
        <v>113.2</v>
      </c>
      <c r="D6" s="30">
        <v>139.3</v>
      </c>
      <c r="E6" s="30">
        <v>677.6</v>
      </c>
      <c r="F6" s="30">
        <v>29.1</v>
      </c>
      <c r="G6" s="30">
        <v>0.0</v>
      </c>
    </row>
    <row r="7" ht="15.0" customHeight="1">
      <c r="B7" s="9" t="s">
        <v>109</v>
      </c>
      <c r="C7" s="30">
        <v>0.0</v>
      </c>
      <c r="D7" s="30">
        <v>482.5</v>
      </c>
      <c r="E7" s="30">
        <v>5163.0</v>
      </c>
      <c r="F7" s="30">
        <v>11540.0</v>
      </c>
      <c r="G7" s="30">
        <v>22965.0</v>
      </c>
    </row>
    <row r="8" ht="15.0" customHeight="1">
      <c r="B8" s="9" t="s">
        <v>110</v>
      </c>
      <c r="C8" s="30">
        <v>0.0</v>
      </c>
      <c r="D8" s="30">
        <v>0.0</v>
      </c>
      <c r="E8" s="30">
        <v>175.8</v>
      </c>
      <c r="F8" s="30">
        <v>4926.0</v>
      </c>
      <c r="G8" s="30">
        <v>13542.0</v>
      </c>
    </row>
    <row r="9" ht="15.0" customHeight="1">
      <c r="B9" s="9" t="s">
        <v>111</v>
      </c>
      <c r="C9" s="30">
        <v>6472.0</v>
      </c>
      <c r="D9" s="30">
        <v>7440.0</v>
      </c>
      <c r="E9" s="30">
        <v>7133.0</v>
      </c>
      <c r="F9" s="30">
        <v>5254.0</v>
      </c>
      <c r="G9" s="30">
        <v>4276.0</v>
      </c>
    </row>
    <row r="10" ht="15.0" customHeight="1">
      <c r="B10" s="9" t="s">
        <v>114</v>
      </c>
      <c r="C10" s="30">
        <v>1491.0</v>
      </c>
      <c r="D10" s="30">
        <v>2066.0</v>
      </c>
      <c r="E10" s="30">
        <v>2745.0</v>
      </c>
      <c r="F10" s="30">
        <v>3341.0</v>
      </c>
      <c r="G10" s="30">
        <v>3432.0</v>
      </c>
    </row>
    <row r="11" ht="15.0" customHeight="1">
      <c r="B11" s="9" t="s">
        <v>116</v>
      </c>
      <c r="C11" s="30">
        <v>2453.0</v>
      </c>
      <c r="D11" s="30">
        <v>2061.0</v>
      </c>
      <c r="E11" s="30">
        <v>1663.0</v>
      </c>
      <c r="F11" s="30">
        <v>2325.0</v>
      </c>
      <c r="G11" s="30">
        <v>2168.0</v>
      </c>
    </row>
    <row r="12" ht="15.0" customHeight="1">
      <c r="B12" s="9" t="s">
        <v>118</v>
      </c>
      <c r="C12" s="30">
        <v>5741.0</v>
      </c>
      <c r="D12" s="30">
        <v>5666.0</v>
      </c>
      <c r="E12" s="30">
        <v>6658.0</v>
      </c>
      <c r="F12" s="30">
        <v>8752.0</v>
      </c>
      <c r="G12" s="30">
        <v>9376.0</v>
      </c>
    </row>
    <row r="13" ht="15.0" customHeight="1">
      <c r="B13" s="9" t="s">
        <v>119</v>
      </c>
      <c r="C13" s="30">
        <v>3361.0</v>
      </c>
      <c r="D13" s="30">
        <v>3345.0</v>
      </c>
      <c r="E13" s="30">
        <v>3798.0</v>
      </c>
      <c r="F13" s="30">
        <v>4393.0</v>
      </c>
      <c r="G13" s="30">
        <v>5247.0</v>
      </c>
    </row>
    <row r="14" ht="15.0" customHeight="1">
      <c r="B14" s="9" t="s">
        <v>121</v>
      </c>
      <c r="C14" s="30">
        <v>1899.0</v>
      </c>
      <c r="D14" s="30">
        <v>1546.0</v>
      </c>
      <c r="E14" s="30">
        <v>2879.0</v>
      </c>
      <c r="F14" s="30">
        <v>1473.0</v>
      </c>
      <c r="G14" s="30">
        <v>1391.0</v>
      </c>
    </row>
    <row r="15" ht="15.0" customHeight="1">
      <c r="B15" s="9" t="s">
        <v>122</v>
      </c>
      <c r="C15" s="30">
        <v>1223.0</v>
      </c>
      <c r="D15" s="30">
        <v>1019.0</v>
      </c>
      <c r="E15" s="30">
        <v>852.1</v>
      </c>
      <c r="F15" s="30">
        <v>917.1</v>
      </c>
      <c r="G15" s="30">
        <v>705.0</v>
      </c>
    </row>
    <row r="16" ht="15.0" customHeight="1">
      <c r="B16" s="9" t="s">
        <v>125</v>
      </c>
      <c r="C16" s="30">
        <v>892.5</v>
      </c>
      <c r="D16" s="30">
        <v>760.4</v>
      </c>
      <c r="E16" s="30">
        <v>728.3</v>
      </c>
      <c r="F16" s="30">
        <v>676.9</v>
      </c>
      <c r="G16" s="30">
        <v>626.0</v>
      </c>
    </row>
    <row r="17" ht="15.0" customHeight="1">
      <c r="B17" s="9" t="s">
        <v>130</v>
      </c>
      <c r="C17" s="30">
        <v>372.5</v>
      </c>
      <c r="D17" s="30">
        <v>383.7</v>
      </c>
      <c r="E17" s="30">
        <v>386.9</v>
      </c>
      <c r="F17" s="30">
        <v>353.9</v>
      </c>
      <c r="G17" s="30">
        <v>318.0</v>
      </c>
    </row>
    <row r="18" ht="15.0" customHeight="1">
      <c r="B18" s="9" t="s">
        <v>132</v>
      </c>
      <c r="C18" s="30">
        <v>121.2</v>
      </c>
      <c r="D18" s="30">
        <v>80.8</v>
      </c>
      <c r="E18" s="30">
        <v>143.1</v>
      </c>
      <c r="F18" s="30">
        <v>187.9</v>
      </c>
      <c r="G18" s="30">
        <v>189.0</v>
      </c>
    </row>
    <row r="19" ht="15.0" customHeight="1">
      <c r="B19" s="9" t="s">
        <v>133</v>
      </c>
      <c r="C19" s="30">
        <v>4130.0</v>
      </c>
      <c r="D19" s="30">
        <v>3520.0</v>
      </c>
      <c r="E19" s="30">
        <v>1122.0</v>
      </c>
      <c r="F19" s="30">
        <v>903.0</v>
      </c>
      <c r="G19" s="30">
        <v>944.0</v>
      </c>
    </row>
    <row r="20" ht="15.0" customHeight="1">
      <c r="B20" s="37" t="s">
        <v>134</v>
      </c>
      <c r="C20" s="49">
        <f t="shared" ref="C20:G20" si="1">C6+C7+C8+C9+C10+C11+C12+C13+C14+C15+C16+C17+C18+C19</f>
        <v>28269.4</v>
      </c>
      <c r="D20" s="49">
        <f t="shared" si="1"/>
        <v>28509.7</v>
      </c>
      <c r="E20" s="49">
        <f t="shared" si="1"/>
        <v>34124.8</v>
      </c>
      <c r="F20" s="49">
        <f t="shared" si="1"/>
        <v>45071.9</v>
      </c>
      <c r="G20" s="49">
        <f t="shared" si="1"/>
        <v>65179</v>
      </c>
    </row>
    <row r="21" ht="15.0" customHeight="1">
      <c r="B21" s="56" t="s">
        <v>139</v>
      </c>
      <c r="C21" s="30">
        <f>C20-'Income Statement'!C7</f>
        <v>-48.6</v>
      </c>
      <c r="D21" s="30">
        <f>D20-'Income Statement'!D7</f>
        <v>-31.3</v>
      </c>
      <c r="E21" s="30">
        <f>E20-'Income Statement'!E7</f>
        <v>0.8</v>
      </c>
      <c r="F21" s="30">
        <f>F20-'Income Statement'!F7</f>
        <v>28.9</v>
      </c>
      <c r="G21" s="30">
        <f>G20-'Income Statement'!G7</f>
        <v>0</v>
      </c>
    </row>
    <row r="22" ht="15.75" customHeight="1">
      <c r="B22" s="11"/>
      <c r="C22" s="11"/>
      <c r="D22" s="11"/>
      <c r="E22" s="11"/>
      <c r="F22" s="11"/>
      <c r="G22" s="11"/>
    </row>
    <row r="23" ht="15.0" customHeight="1">
      <c r="B23" s="37" t="s">
        <v>145</v>
      </c>
      <c r="C23" s="65">
        <f t="shared" ref="C23:G23" si="2">C6+C7</f>
        <v>113.2</v>
      </c>
      <c r="D23" s="65">
        <f t="shared" si="2"/>
        <v>621.8</v>
      </c>
      <c r="E23" s="65">
        <f t="shared" si="2"/>
        <v>5840.6</v>
      </c>
      <c r="F23" s="65">
        <f t="shared" si="2"/>
        <v>11569.1</v>
      </c>
      <c r="G23" s="65">
        <f t="shared" si="2"/>
        <v>22965</v>
      </c>
    </row>
    <row r="24" ht="15.0" customHeight="1">
      <c r="B24" s="9" t="s">
        <v>150</v>
      </c>
      <c r="C24" s="64">
        <f>C23/'Income Statement'!C7</f>
        <v>0.003997457448</v>
      </c>
      <c r="D24" s="64">
        <f>D23/'Income Statement'!D7</f>
        <v>0.02178620231</v>
      </c>
      <c r="E24" s="64">
        <f>E23/'Income Statement'!E7</f>
        <v>0.1711581292</v>
      </c>
      <c r="F24" s="64">
        <f>F23/'Income Statement'!F7</f>
        <v>0.2568456808</v>
      </c>
      <c r="G24" s="64">
        <f>G23/'Income Statement'!G7</f>
        <v>0.3523374093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29"/>
    <col customWidth="1" min="3" max="3" width="86.71"/>
    <col customWidth="1" min="4" max="4" width="10.86"/>
    <col customWidth="1" min="5" max="5" width="10.14"/>
    <col customWidth="1" min="6" max="6" width="10.0"/>
    <col customWidth="1" min="7" max="7" width="9.71"/>
    <col customWidth="1" min="8" max="8" width="9.43"/>
    <col customWidth="1" min="9" max="26" width="8.71"/>
  </cols>
  <sheetData>
    <row r="2" ht="19.5" customHeight="1">
      <c r="B2" s="1" t="s">
        <v>108</v>
      </c>
      <c r="C2" s="1"/>
      <c r="D2" s="2"/>
      <c r="E2" s="2"/>
      <c r="F2" s="2"/>
      <c r="G2" s="2"/>
      <c r="H2" s="2"/>
    </row>
    <row r="3">
      <c r="B3" s="2"/>
      <c r="C3" s="2"/>
      <c r="D3" s="2"/>
      <c r="E3" s="2"/>
      <c r="F3" s="2"/>
      <c r="G3" s="2"/>
      <c r="H3" s="2"/>
    </row>
    <row r="4" ht="15.0" customHeight="1">
      <c r="B4" s="7" t="s">
        <v>112</v>
      </c>
      <c r="C4" s="7"/>
      <c r="D4" s="2"/>
      <c r="E4" s="2"/>
      <c r="F4" s="2"/>
      <c r="G4" s="2"/>
      <c r="H4" s="2"/>
    </row>
    <row r="5" ht="90.75" customHeight="1">
      <c r="B5" s="34" t="s">
        <v>117</v>
      </c>
    </row>
    <row r="6" ht="15.0" customHeight="1">
      <c r="B6" s="35" t="s">
        <v>120</v>
      </c>
      <c r="C6" s="36" t="s">
        <v>124</v>
      </c>
      <c r="D6" s="36" t="s">
        <v>123</v>
      </c>
      <c r="E6" s="36" t="s">
        <v>126</v>
      </c>
      <c r="F6" s="36" t="s">
        <v>128</v>
      </c>
      <c r="G6" s="36" t="s">
        <v>129</v>
      </c>
      <c r="H6" s="38" t="s">
        <v>131</v>
      </c>
    </row>
    <row r="7">
      <c r="B7" s="39"/>
      <c r="C7" s="2"/>
      <c r="D7" s="2"/>
      <c r="E7" s="2"/>
      <c r="F7" s="2"/>
      <c r="G7" s="2"/>
      <c r="H7" s="40"/>
    </row>
    <row r="8" ht="15.0" customHeight="1">
      <c r="B8" s="42" t="s">
        <v>135</v>
      </c>
      <c r="C8" s="44"/>
      <c r="D8" s="45"/>
      <c r="E8" s="45"/>
      <c r="F8" s="45"/>
      <c r="G8" s="45"/>
      <c r="H8" s="46"/>
    </row>
    <row r="9" ht="37.5" customHeight="1">
      <c r="B9" s="47" t="s">
        <v>28</v>
      </c>
      <c r="C9" s="50" t="s">
        <v>136</v>
      </c>
      <c r="D9" s="51">
        <v>0.319</v>
      </c>
      <c r="E9" s="51">
        <v>0.18</v>
      </c>
      <c r="F9" s="51">
        <v>0.14</v>
      </c>
      <c r="G9" s="51">
        <v>0.11</v>
      </c>
      <c r="H9" s="52">
        <v>0.09</v>
      </c>
    </row>
    <row r="10">
      <c r="B10" s="47"/>
      <c r="C10" s="3"/>
      <c r="D10" s="3"/>
      <c r="E10" s="3"/>
      <c r="F10" s="3"/>
      <c r="G10" s="3"/>
      <c r="H10" s="54"/>
    </row>
    <row r="11" ht="15.0" customHeight="1">
      <c r="B11" s="42" t="s">
        <v>138</v>
      </c>
      <c r="C11" s="55"/>
      <c r="D11" s="57"/>
      <c r="E11" s="57"/>
      <c r="F11" s="57"/>
      <c r="G11" s="57"/>
      <c r="H11" s="58"/>
    </row>
    <row r="12" ht="36.75" customHeight="1">
      <c r="B12" s="47" t="s">
        <v>56</v>
      </c>
      <c r="C12" s="50" t="s">
        <v>140</v>
      </c>
      <c r="D12" s="51">
        <v>0.83</v>
      </c>
      <c r="E12" s="51">
        <v>0.833</v>
      </c>
      <c r="F12" s="51">
        <v>0.836</v>
      </c>
      <c r="G12" s="51">
        <v>0.838</v>
      </c>
      <c r="H12" s="52">
        <v>0.84</v>
      </c>
    </row>
    <row r="13" ht="15.0" customHeight="1">
      <c r="B13" s="47"/>
      <c r="H13" s="60"/>
    </row>
    <row r="14" ht="29.25" customHeight="1">
      <c r="B14" s="47" t="s">
        <v>72</v>
      </c>
      <c r="C14" s="50" t="s">
        <v>141</v>
      </c>
      <c r="D14" s="51">
        <v>0.42</v>
      </c>
      <c r="E14" s="51">
        <v>0.43</v>
      </c>
      <c r="F14" s="51">
        <v>0.44</v>
      </c>
      <c r="G14" s="51">
        <v>0.45</v>
      </c>
      <c r="H14" s="52">
        <v>0.46</v>
      </c>
    </row>
    <row r="15" ht="15.0" customHeight="1">
      <c r="B15" s="47"/>
      <c r="H15" s="60"/>
    </row>
    <row r="16" ht="30.75" customHeight="1">
      <c r="B16" s="47" t="s">
        <v>76</v>
      </c>
      <c r="C16" s="50" t="s">
        <v>142</v>
      </c>
      <c r="D16" s="51">
        <v>0.335</v>
      </c>
      <c r="E16" s="51">
        <v>0.345</v>
      </c>
      <c r="F16" s="51">
        <v>0.36</v>
      </c>
      <c r="G16" s="51">
        <v>0.375</v>
      </c>
      <c r="H16" s="52">
        <v>0.385</v>
      </c>
    </row>
    <row r="17" ht="15.0" customHeight="1">
      <c r="B17" s="47"/>
      <c r="H17" s="60"/>
    </row>
    <row r="18" ht="15.0" customHeight="1">
      <c r="B18" s="42" t="s">
        <v>144</v>
      </c>
      <c r="C18" s="55"/>
      <c r="D18" s="57"/>
      <c r="E18" s="57"/>
      <c r="F18" s="57"/>
      <c r="G18" s="57"/>
      <c r="H18" s="58"/>
    </row>
    <row r="19" ht="15.0" customHeight="1">
      <c r="B19" s="41"/>
      <c r="C19" s="62"/>
      <c r="D19" s="3"/>
      <c r="E19" s="3"/>
      <c r="F19" s="3"/>
      <c r="G19" s="3"/>
      <c r="H19" s="54"/>
    </row>
    <row r="20" ht="27.75" customHeight="1">
      <c r="B20" s="47" t="s">
        <v>146</v>
      </c>
      <c r="C20" s="50" t="s">
        <v>147</v>
      </c>
      <c r="D20" s="51">
        <v>0.12</v>
      </c>
      <c r="E20" s="51">
        <v>0.11</v>
      </c>
      <c r="F20" s="51">
        <v>0.1</v>
      </c>
      <c r="G20" s="51">
        <v>0.09</v>
      </c>
      <c r="H20" s="52">
        <v>0.085</v>
      </c>
    </row>
    <row r="21" ht="15.0" customHeight="1">
      <c r="B21" s="47"/>
      <c r="H21" s="60"/>
    </row>
    <row r="22" ht="27.0" customHeight="1">
      <c r="B22" s="47" t="s">
        <v>148</v>
      </c>
      <c r="C22" s="50" t="s">
        <v>149</v>
      </c>
      <c r="D22" s="51">
        <v>0.033</v>
      </c>
      <c r="E22" s="51">
        <v>0.036</v>
      </c>
      <c r="F22" s="51">
        <v>0.039</v>
      </c>
      <c r="G22" s="51">
        <v>0.041</v>
      </c>
      <c r="H22" s="52">
        <v>0.043</v>
      </c>
    </row>
    <row r="23" ht="15.0" customHeight="1">
      <c r="B23" s="47"/>
      <c r="H23" s="60"/>
    </row>
    <row r="24" ht="29.25" customHeight="1">
      <c r="B24" s="47" t="s">
        <v>151</v>
      </c>
      <c r="C24" s="50" t="s">
        <v>152</v>
      </c>
      <c r="D24" s="66">
        <v>113.0</v>
      </c>
      <c r="E24" s="66">
        <v>113.0</v>
      </c>
      <c r="F24" s="66">
        <v>113.0</v>
      </c>
      <c r="G24" s="66">
        <v>113.0</v>
      </c>
      <c r="H24" s="67">
        <v>113.0</v>
      </c>
    </row>
    <row r="25" ht="15.0" customHeight="1">
      <c r="B25" s="47"/>
      <c r="H25" s="60"/>
    </row>
    <row r="26" ht="15.0" customHeight="1">
      <c r="B26" s="47" t="s">
        <v>153</v>
      </c>
      <c r="C26" s="69" t="s">
        <v>154</v>
      </c>
      <c r="D26" s="66">
        <v>98.0</v>
      </c>
      <c r="E26" s="66">
        <v>98.0</v>
      </c>
      <c r="F26" s="66">
        <v>98.0</v>
      </c>
      <c r="G26" s="66">
        <v>98.0</v>
      </c>
      <c r="H26" s="67">
        <v>98.0</v>
      </c>
    </row>
    <row r="27" ht="15.0" customHeight="1">
      <c r="B27" s="47"/>
      <c r="H27" s="60"/>
    </row>
    <row r="28" ht="33.0" customHeight="1">
      <c r="B28" s="47" t="s">
        <v>155</v>
      </c>
      <c r="C28" s="50" t="s">
        <v>156</v>
      </c>
      <c r="D28" s="66">
        <v>51.0</v>
      </c>
      <c r="E28" s="66">
        <v>51.0</v>
      </c>
      <c r="F28" s="66">
        <v>51.0</v>
      </c>
      <c r="G28" s="66">
        <v>51.0</v>
      </c>
      <c r="H28" s="67">
        <v>51.0</v>
      </c>
    </row>
    <row r="29" ht="15.0" customHeight="1">
      <c r="B29" s="47"/>
      <c r="H29" s="60"/>
    </row>
    <row r="30" ht="15.0" customHeight="1">
      <c r="B30" s="42" t="s">
        <v>157</v>
      </c>
      <c r="C30" s="55"/>
      <c r="D30" s="57"/>
      <c r="E30" s="57"/>
      <c r="F30" s="57"/>
      <c r="G30" s="57"/>
      <c r="H30" s="58"/>
    </row>
    <row r="31" ht="15.0" customHeight="1">
      <c r="B31" s="41"/>
      <c r="C31" s="62"/>
      <c r="D31" s="3"/>
      <c r="E31" s="3"/>
      <c r="F31" s="3"/>
      <c r="G31" s="3"/>
      <c r="H31" s="54"/>
    </row>
    <row r="32" ht="27.0" customHeight="1">
      <c r="B32" s="47" t="s">
        <v>158</v>
      </c>
      <c r="C32" s="50" t="s">
        <v>159</v>
      </c>
      <c r="D32" s="51">
        <v>0.26</v>
      </c>
      <c r="E32" s="51">
        <v>0.27</v>
      </c>
      <c r="F32" s="51">
        <v>0.28</v>
      </c>
      <c r="G32" s="51">
        <v>0.29</v>
      </c>
      <c r="H32" s="52">
        <v>0.3</v>
      </c>
    </row>
    <row r="33" ht="15.0" customHeight="1">
      <c r="B33" s="47"/>
      <c r="H33" s="60"/>
    </row>
    <row r="34" ht="15.0" customHeight="1">
      <c r="B34" s="47" t="s">
        <v>160</v>
      </c>
      <c r="C34" s="69" t="s">
        <v>161</v>
      </c>
      <c r="D34" s="68">
        <v>4500.0</v>
      </c>
      <c r="E34" s="68">
        <v>4500.0</v>
      </c>
      <c r="F34" s="68">
        <v>4500.0</v>
      </c>
      <c r="G34" s="68">
        <v>4500.0</v>
      </c>
      <c r="H34" s="70">
        <v>4500.0</v>
      </c>
    </row>
    <row r="35" ht="15.0" customHeight="1">
      <c r="B35" s="47"/>
      <c r="H35" s="60"/>
    </row>
    <row r="36" ht="26.25" customHeight="1">
      <c r="B36" s="71" t="s">
        <v>162</v>
      </c>
      <c r="C36" s="72" t="s">
        <v>163</v>
      </c>
      <c r="D36" s="73">
        <v>0.01</v>
      </c>
      <c r="E36" s="73">
        <v>0.01</v>
      </c>
      <c r="F36" s="73">
        <v>0.01</v>
      </c>
      <c r="G36" s="73">
        <v>0.01</v>
      </c>
      <c r="H36" s="74">
        <v>0.01</v>
      </c>
    </row>
    <row r="37" ht="15.0" customHeight="1">
      <c r="B37" s="3"/>
    </row>
    <row r="38" ht="15.75" customHeight="1">
      <c r="B38" s="3"/>
      <c r="C38" s="3"/>
      <c r="D38" s="3"/>
      <c r="E38" s="3"/>
      <c r="F38" s="3"/>
      <c r="G38" s="3"/>
      <c r="H38" s="3"/>
    </row>
    <row r="39" ht="15.75" customHeight="1">
      <c r="B39" s="3"/>
      <c r="C39" s="3"/>
      <c r="D39" s="3"/>
      <c r="E39" s="3"/>
      <c r="F39" s="3"/>
      <c r="G39" s="3"/>
      <c r="H39" s="3"/>
    </row>
    <row r="40" ht="15.75" customHeight="1">
      <c r="B40" s="2"/>
      <c r="C40" s="2"/>
      <c r="D40" s="2"/>
      <c r="E40" s="2"/>
      <c r="F40" s="2"/>
      <c r="G40" s="2"/>
      <c r="H40" s="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7:H27"/>
    <mergeCell ref="B29:H29"/>
    <mergeCell ref="B33:H33"/>
    <mergeCell ref="B35:H35"/>
    <mergeCell ref="B37:H37"/>
    <mergeCell ref="B5:H5"/>
    <mergeCell ref="B13:H13"/>
    <mergeCell ref="B15:H15"/>
    <mergeCell ref="B17:H17"/>
    <mergeCell ref="B21:H21"/>
    <mergeCell ref="B23:H23"/>
    <mergeCell ref="B25:H25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29"/>
    <col customWidth="1" min="3" max="7" width="13.0"/>
    <col customWidth="1" min="8" max="26" width="8.71"/>
  </cols>
  <sheetData>
    <row r="2" ht="19.5" customHeight="1">
      <c r="B2" s="1" t="s">
        <v>113</v>
      </c>
    </row>
    <row r="3" ht="15.0" customHeight="1">
      <c r="B3" s="4" t="s">
        <v>115</v>
      </c>
      <c r="C3" s="2"/>
      <c r="D3" s="2"/>
      <c r="E3" s="2"/>
      <c r="F3" s="2"/>
      <c r="G3" s="2"/>
    </row>
    <row r="4">
      <c r="B4" s="2"/>
      <c r="C4" s="2"/>
      <c r="D4" s="2"/>
      <c r="E4" s="2"/>
      <c r="F4" s="2"/>
      <c r="G4" s="2"/>
    </row>
    <row r="5" ht="15.0" customHeight="1">
      <c r="B5" s="35" t="s">
        <v>8</v>
      </c>
      <c r="C5" s="36" t="s">
        <v>123</v>
      </c>
      <c r="D5" s="36" t="s">
        <v>126</v>
      </c>
      <c r="E5" s="36" t="s">
        <v>128</v>
      </c>
      <c r="F5" s="36" t="s">
        <v>129</v>
      </c>
      <c r="G5" s="38" t="s">
        <v>131</v>
      </c>
    </row>
    <row r="6">
      <c r="B6" s="39"/>
      <c r="C6" s="2"/>
      <c r="D6" s="2"/>
      <c r="E6" s="2"/>
      <c r="F6" s="2"/>
      <c r="G6" s="40"/>
    </row>
    <row r="7" ht="15.0" customHeight="1">
      <c r="B7" s="41" t="s">
        <v>22</v>
      </c>
      <c r="C7" s="48">
        <f>'Income Statement'!G7*(1+'Forecast Assumptions'!D9)</f>
        <v>85971.101</v>
      </c>
      <c r="D7" s="48">
        <f>C7*(1+'Forecast Assumptions'!E9)</f>
        <v>101445.8992</v>
      </c>
      <c r="E7" s="48">
        <f>D7*(1+'Forecast Assumptions'!F9)</f>
        <v>115648.3251</v>
      </c>
      <c r="F7" s="48">
        <f>E7*(1+'Forecast Assumptions'!G9)</f>
        <v>128369.6408</v>
      </c>
      <c r="G7" s="59">
        <f>F7*(1+'Forecast Assumptions'!H9)</f>
        <v>139922.9085</v>
      </c>
    </row>
    <row r="8" ht="15.0" customHeight="1">
      <c r="B8" s="47" t="s">
        <v>28</v>
      </c>
      <c r="C8" s="61">
        <f>'Forecast Assumptions'!D9</f>
        <v>0.319</v>
      </c>
      <c r="D8" s="61">
        <f>'Forecast Assumptions'!E9</f>
        <v>0.18</v>
      </c>
      <c r="E8" s="61">
        <f>'Forecast Assumptions'!F9</f>
        <v>0.14</v>
      </c>
      <c r="F8" s="61">
        <f>'Forecast Assumptions'!G9</f>
        <v>0.11</v>
      </c>
      <c r="G8" s="63">
        <f>'Forecast Assumptions'!H9</f>
        <v>0.09</v>
      </c>
    </row>
    <row r="9" ht="15.0" customHeight="1">
      <c r="B9" s="41" t="s">
        <v>54</v>
      </c>
      <c r="C9" s="48">
        <f>C7*'Forecast Assumptions'!D12</f>
        <v>71356.01383</v>
      </c>
      <c r="D9" s="48">
        <f>D7*'Forecast Assumptions'!E12</f>
        <v>84504.43402</v>
      </c>
      <c r="E9" s="48">
        <f>E7*'Forecast Assumptions'!F12</f>
        <v>96681.99975</v>
      </c>
      <c r="F9" s="48">
        <f>F7*'Forecast Assumptions'!G12</f>
        <v>107573.759</v>
      </c>
      <c r="G9" s="59">
        <f>G7*'Forecast Assumptions'!H12</f>
        <v>117535.2431</v>
      </c>
    </row>
    <row r="10" ht="15.0" customHeight="1">
      <c r="B10" s="47" t="s">
        <v>49</v>
      </c>
      <c r="C10" s="68">
        <f t="shared" ref="C10:G10" si="1">C7-C9</f>
        <v>14615.08717</v>
      </c>
      <c r="D10" s="68">
        <f t="shared" si="1"/>
        <v>16941.46516</v>
      </c>
      <c r="E10" s="68">
        <f t="shared" si="1"/>
        <v>18966.32531</v>
      </c>
      <c r="F10" s="68">
        <f t="shared" si="1"/>
        <v>20795.88181</v>
      </c>
      <c r="G10" s="70">
        <f t="shared" si="1"/>
        <v>22387.66536</v>
      </c>
    </row>
    <row r="11" ht="15.0" customHeight="1">
      <c r="B11" s="47" t="s">
        <v>56</v>
      </c>
      <c r="C11" s="61">
        <f>'Forecast Assumptions'!D12</f>
        <v>0.83</v>
      </c>
      <c r="D11" s="61">
        <f>'Forecast Assumptions'!E12</f>
        <v>0.833</v>
      </c>
      <c r="E11" s="61">
        <f>'Forecast Assumptions'!F12</f>
        <v>0.836</v>
      </c>
      <c r="F11" s="61">
        <f>'Forecast Assumptions'!G12</f>
        <v>0.838</v>
      </c>
      <c r="G11" s="63">
        <f>'Forecast Assumptions'!H12</f>
        <v>0.84</v>
      </c>
    </row>
    <row r="12">
      <c r="B12" s="39"/>
      <c r="C12" s="2"/>
      <c r="D12" s="2"/>
      <c r="E12" s="2"/>
      <c r="F12" s="2"/>
      <c r="G12" s="40"/>
    </row>
    <row r="13" ht="15.0" customHeight="1">
      <c r="B13" s="41" t="s">
        <v>69</v>
      </c>
      <c r="C13" s="48">
        <f>C7*'Forecast Assumptions'!D14</f>
        <v>36107.86242</v>
      </c>
      <c r="D13" s="48">
        <f>D7*'Forecast Assumptions'!E14</f>
        <v>43621.73665</v>
      </c>
      <c r="E13" s="48">
        <f>E7*'Forecast Assumptions'!F14</f>
        <v>50885.26303</v>
      </c>
      <c r="F13" s="48">
        <f>F7*'Forecast Assumptions'!G14</f>
        <v>57766.33837</v>
      </c>
      <c r="G13" s="59">
        <f>G7*'Forecast Assumptions'!H14</f>
        <v>64364.53791</v>
      </c>
    </row>
    <row r="14" ht="15.0" customHeight="1">
      <c r="B14" s="47" t="s">
        <v>164</v>
      </c>
      <c r="C14" s="68">
        <f t="shared" ref="C14:G14" si="2">C9-C13</f>
        <v>35248.15141</v>
      </c>
      <c r="D14" s="68">
        <f t="shared" si="2"/>
        <v>40882.69737</v>
      </c>
      <c r="E14" s="68">
        <f t="shared" si="2"/>
        <v>45796.73673</v>
      </c>
      <c r="F14" s="68">
        <f t="shared" si="2"/>
        <v>49807.42064</v>
      </c>
      <c r="G14" s="70">
        <f t="shared" si="2"/>
        <v>53170.70523</v>
      </c>
    </row>
    <row r="15" ht="15.0" customHeight="1">
      <c r="B15" s="47" t="s">
        <v>72</v>
      </c>
      <c r="C15" s="61">
        <f>'Forecast Assumptions'!D14</f>
        <v>0.42</v>
      </c>
      <c r="D15" s="61">
        <f>'Forecast Assumptions'!E14</f>
        <v>0.43</v>
      </c>
      <c r="E15" s="61">
        <f>'Forecast Assumptions'!F14</f>
        <v>0.44</v>
      </c>
      <c r="F15" s="61">
        <f>'Forecast Assumptions'!G14</f>
        <v>0.45</v>
      </c>
      <c r="G15" s="63">
        <f>'Forecast Assumptions'!H14</f>
        <v>0.46</v>
      </c>
    </row>
    <row r="16">
      <c r="B16" s="39"/>
      <c r="C16" s="2"/>
      <c r="D16" s="2"/>
      <c r="E16" s="2"/>
      <c r="F16" s="2"/>
      <c r="G16" s="40"/>
    </row>
    <row r="17" ht="15.0" customHeight="1">
      <c r="B17" s="41" t="s">
        <v>24</v>
      </c>
      <c r="C17" s="48">
        <f>C7*'Forecast Assumptions'!D16</f>
        <v>28800.31884</v>
      </c>
      <c r="D17" s="48">
        <f>D7*'Forecast Assumptions'!E16</f>
        <v>34998.83522</v>
      </c>
      <c r="E17" s="48">
        <f>E7*'Forecast Assumptions'!F16</f>
        <v>41633.39702</v>
      </c>
      <c r="F17" s="48">
        <f>F7*'Forecast Assumptions'!G16</f>
        <v>48138.61531</v>
      </c>
      <c r="G17" s="59">
        <f>G7*'Forecast Assumptions'!H16</f>
        <v>53870.31977</v>
      </c>
    </row>
    <row r="18" ht="15.0" customHeight="1">
      <c r="B18" s="47" t="s">
        <v>76</v>
      </c>
      <c r="C18" s="61">
        <f>'Forecast Assumptions'!D16</f>
        <v>0.335</v>
      </c>
      <c r="D18" s="61">
        <f>'Forecast Assumptions'!E16</f>
        <v>0.345</v>
      </c>
      <c r="E18" s="61">
        <f>'Forecast Assumptions'!F16</f>
        <v>0.36</v>
      </c>
      <c r="F18" s="61">
        <f>'Forecast Assumptions'!G16</f>
        <v>0.375</v>
      </c>
      <c r="G18" s="63">
        <f>'Forecast Assumptions'!H16</f>
        <v>0.385</v>
      </c>
    </row>
    <row r="19">
      <c r="B19" s="39"/>
      <c r="C19" s="2"/>
      <c r="D19" s="2"/>
      <c r="E19" s="2"/>
      <c r="F19" s="2"/>
      <c r="G19" s="40"/>
    </row>
    <row r="20" ht="15.0" customHeight="1">
      <c r="B20" s="47" t="s">
        <v>168</v>
      </c>
      <c r="C20" s="48">
        <f>'Income Statement'!G21*(1-'Forecast Assumptions'!D36)</f>
        <v>890.3529412</v>
      </c>
      <c r="D20" s="48">
        <f>C20*(1-'Forecast Assumptions'!E36)</f>
        <v>881.4494118</v>
      </c>
      <c r="E20" s="48">
        <f>D20*(1-'Forecast Assumptions'!F36)</f>
        <v>872.6349176</v>
      </c>
      <c r="F20" s="48">
        <f>E20*(1-'Forecast Assumptions'!G36)</f>
        <v>863.9085685</v>
      </c>
      <c r="G20" s="59">
        <f>F20*(1-'Forecast Assumptions'!H36)</f>
        <v>855.2694828</v>
      </c>
    </row>
    <row r="21" ht="15.0" customHeight="1">
      <c r="B21" s="76" t="s">
        <v>84</v>
      </c>
      <c r="C21" s="77">
        <f t="shared" ref="C21:G21" si="3">C17/C20</f>
        <v>32.34708114</v>
      </c>
      <c r="D21" s="77">
        <f t="shared" si="3"/>
        <v>39.70600553</v>
      </c>
      <c r="E21" s="77">
        <f t="shared" si="3"/>
        <v>47.70998293</v>
      </c>
      <c r="F21" s="77">
        <f t="shared" si="3"/>
        <v>55.72188663</v>
      </c>
      <c r="G21" s="79">
        <f t="shared" si="3"/>
        <v>62.98636962</v>
      </c>
    </row>
    <row r="22" ht="15.75" customHeight="1"/>
    <row r="23" ht="15.0" customHeight="1">
      <c r="B23" s="29"/>
    </row>
    <row r="24" ht="15.0" customHeight="1">
      <c r="B24" s="2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3:G23"/>
    <mergeCell ref="B24:G2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6" width="13.0"/>
    <col customWidth="1" min="7" max="7" width="15.86"/>
    <col customWidth="1" min="8" max="8" width="9.57"/>
    <col customWidth="1" min="9" max="26" width="8.71"/>
  </cols>
  <sheetData>
    <row r="2" ht="19.5" customHeight="1">
      <c r="B2" s="1" t="s">
        <v>170</v>
      </c>
    </row>
    <row r="3" ht="15.0" customHeight="1">
      <c r="B3" s="4" t="s">
        <v>171</v>
      </c>
      <c r="C3" s="2"/>
      <c r="D3" s="2"/>
      <c r="E3" s="2"/>
      <c r="F3" s="2"/>
      <c r="G3" s="2"/>
      <c r="H3" s="2"/>
      <c r="I3" s="2"/>
    </row>
    <row r="4" ht="15.0" customHeight="1">
      <c r="B4" s="4"/>
      <c r="C4" s="2"/>
      <c r="D4" s="2"/>
      <c r="E4" s="2"/>
      <c r="F4" s="2"/>
      <c r="G4" s="2"/>
      <c r="H4" s="2"/>
      <c r="I4" s="2"/>
    </row>
    <row r="5" ht="15.0" customHeight="1">
      <c r="B5" s="78" t="s">
        <v>172</v>
      </c>
      <c r="C5" s="2"/>
      <c r="D5" s="2"/>
      <c r="E5" s="2"/>
      <c r="F5" s="2"/>
      <c r="G5" s="2"/>
      <c r="H5" s="2"/>
      <c r="I5" s="2"/>
    </row>
    <row r="6" ht="15.0" customHeight="1">
      <c r="B6" s="78" t="s">
        <v>173</v>
      </c>
      <c r="C6" s="2"/>
      <c r="D6" s="2"/>
      <c r="E6" s="2"/>
      <c r="F6" s="2"/>
      <c r="G6" s="2"/>
      <c r="H6" s="2"/>
      <c r="I6" s="2"/>
    </row>
    <row r="7" ht="16.5" customHeight="1">
      <c r="B7" s="80"/>
      <c r="C7" s="80"/>
      <c r="D7" s="80"/>
      <c r="E7" s="80"/>
      <c r="F7" s="80"/>
      <c r="G7" s="80"/>
    </row>
    <row r="8" ht="15.0" customHeight="1">
      <c r="B8" s="35" t="s">
        <v>8</v>
      </c>
      <c r="C8" s="36" t="s">
        <v>123</v>
      </c>
      <c r="D8" s="36" t="s">
        <v>126</v>
      </c>
      <c r="E8" s="36" t="s">
        <v>128</v>
      </c>
      <c r="F8" s="36" t="s">
        <v>129</v>
      </c>
      <c r="G8" s="38" t="s">
        <v>131</v>
      </c>
    </row>
    <row r="9">
      <c r="B9" s="39"/>
      <c r="C9" s="2"/>
      <c r="D9" s="2"/>
      <c r="E9" s="2"/>
      <c r="F9" s="2"/>
      <c r="G9" s="40"/>
    </row>
    <row r="10" ht="15.0" customHeight="1">
      <c r="B10" s="81" t="s">
        <v>32</v>
      </c>
      <c r="C10" s="82">
        <f>'Forecast Income Statement'!C7/365*'Forecast Assumptions'!D24</f>
        <v>26615.71072</v>
      </c>
      <c r="D10" s="82">
        <f>'Forecast Income Statement'!D7/365*'Forecast Assumptions'!E24</f>
        <v>31406.53865</v>
      </c>
      <c r="E10" s="82">
        <f>'Forecast Income Statement'!E7/365*'Forecast Assumptions'!F24</f>
        <v>35803.45406</v>
      </c>
      <c r="F10" s="82">
        <f>'Forecast Income Statement'!F7/365*'Forecast Assumptions'!G24</f>
        <v>39741.83401</v>
      </c>
      <c r="G10" s="83">
        <f>'Forecast Income Statement'!G7/365*'Forecast Assumptions'!H24</f>
        <v>43318.59907</v>
      </c>
    </row>
    <row r="11" ht="15.0" customHeight="1">
      <c r="B11" s="81" t="s">
        <v>34</v>
      </c>
      <c r="C11" s="82">
        <f>'Forecast Income Statement'!C10/365*'Forecast Assumptions'!D26</f>
        <v>3924.050802</v>
      </c>
      <c r="D11" s="82">
        <f>'Forecast Income Statement'!D10/365*'Forecast Assumptions'!E26</f>
        <v>4548.667359</v>
      </c>
      <c r="E11" s="82">
        <f>'Forecast Income Statement'!E10/365*'Forecast Assumptions'!F26</f>
        <v>5092.32844</v>
      </c>
      <c r="F11" s="82">
        <f>'Forecast Income Statement'!F10/365*'Forecast Assumptions'!G26</f>
        <v>5583.551829</v>
      </c>
      <c r="G11" s="83">
        <f>'Forecast Income Statement'!G10/365*'Forecast Assumptions'!H26</f>
        <v>6010.934809</v>
      </c>
    </row>
    <row r="12" ht="15.0" customHeight="1">
      <c r="B12" s="81" t="s">
        <v>68</v>
      </c>
      <c r="C12" s="82">
        <f>'Forecast Income Statement'!C10/365*'Forecast Assumptions'!D28</f>
        <v>2042.10807</v>
      </c>
      <c r="D12" s="82">
        <f>'Forecast Income Statement'!D10/365*'Forecast Assumptions'!E28</f>
        <v>2367.163626</v>
      </c>
      <c r="E12" s="82">
        <f>'Forecast Income Statement'!E10/365*'Forecast Assumptions'!F28</f>
        <v>2650.08929</v>
      </c>
      <c r="F12" s="82">
        <f>'Forecast Income Statement'!F10/365*'Forecast Assumptions'!G28</f>
        <v>2905.725952</v>
      </c>
      <c r="G12" s="83">
        <f>'Forecast Income Statement'!G10/365*'Forecast Assumptions'!H28</f>
        <v>3128.139543</v>
      </c>
    </row>
    <row r="13">
      <c r="B13" s="39"/>
      <c r="C13" s="2"/>
      <c r="D13" s="2"/>
      <c r="E13" s="2"/>
      <c r="F13" s="2"/>
      <c r="G13" s="40"/>
    </row>
    <row r="14" ht="15.0" customHeight="1">
      <c r="B14" s="81" t="s">
        <v>174</v>
      </c>
      <c r="C14" s="82">
        <f>'Balance Sheet'!G13+C15-C16</f>
        <v>32154.48579</v>
      </c>
      <c r="D14" s="82">
        <f t="shared" ref="D14:G14" si="1">C14+D15-D16</f>
        <v>39661.48233</v>
      </c>
      <c r="E14" s="82">
        <f t="shared" si="1"/>
        <v>46716.03016</v>
      </c>
      <c r="F14" s="82">
        <f t="shared" si="1"/>
        <v>53006.14256</v>
      </c>
      <c r="G14" s="83">
        <f t="shared" si="1"/>
        <v>58882.90471</v>
      </c>
    </row>
    <row r="15" ht="15.0" customHeight="1">
      <c r="B15" s="81" t="s">
        <v>175</v>
      </c>
      <c r="C15" s="82">
        <f>'Forecast Income Statement'!C7*'Forecast Assumptions'!D20</f>
        <v>10316.53212</v>
      </c>
      <c r="D15" s="82">
        <f>'Forecast Income Statement'!D7*'Forecast Assumptions'!E20</f>
        <v>11159.04891</v>
      </c>
      <c r="E15" s="82">
        <f>'Forecast Income Statement'!E7*'Forecast Assumptions'!F20</f>
        <v>11564.83251</v>
      </c>
      <c r="F15" s="82">
        <f>'Forecast Income Statement'!F7*'Forecast Assumptions'!G20</f>
        <v>11553.26767</v>
      </c>
      <c r="G15" s="83">
        <f>'Forecast Income Statement'!G7*'Forecast Assumptions'!H20</f>
        <v>11893.44722</v>
      </c>
    </row>
    <row r="16" ht="15.0" customHeight="1">
      <c r="B16" s="81" t="s">
        <v>177</v>
      </c>
      <c r="C16" s="82">
        <f>'Forecast Income Statement'!C7*'Forecast Assumptions'!D22</f>
        <v>2837.046333</v>
      </c>
      <c r="D16" s="82">
        <f>'Forecast Income Statement'!D7*'Forecast Assumptions'!E22</f>
        <v>3652.05237</v>
      </c>
      <c r="E16" s="82">
        <f>'Forecast Income Statement'!E7*'Forecast Assumptions'!F22</f>
        <v>4510.284678</v>
      </c>
      <c r="F16" s="82">
        <f>'Forecast Income Statement'!F7*'Forecast Assumptions'!G22</f>
        <v>5263.155274</v>
      </c>
      <c r="G16" s="83">
        <f>'Forecast Income Statement'!G7*'Forecast Assumptions'!H22</f>
        <v>6016.685065</v>
      </c>
    </row>
    <row r="17">
      <c r="B17" s="39"/>
      <c r="C17" s="2"/>
      <c r="D17" s="2"/>
      <c r="E17" s="2"/>
      <c r="F17" s="2"/>
      <c r="G17" s="40"/>
    </row>
    <row r="18" ht="15.0" customHeight="1">
      <c r="B18" s="81" t="s">
        <v>179</v>
      </c>
      <c r="C18" s="82">
        <f>'Balance Sheet'!G22+'Balance Sheet'!G25</f>
        <v>42503</v>
      </c>
      <c r="D18" s="82">
        <f>'Balance Sheet'!G22+'Balance Sheet'!G25</f>
        <v>42503</v>
      </c>
      <c r="E18" s="82">
        <f>'Balance Sheet'!G22+'Balance Sheet'!G25</f>
        <v>42503</v>
      </c>
      <c r="F18" s="82">
        <f>'Balance Sheet'!G22+'Balance Sheet'!G25</f>
        <v>42503</v>
      </c>
      <c r="G18" s="83">
        <f>'Balance Sheet'!G22+'Balance Sheet'!G25</f>
        <v>42503</v>
      </c>
    </row>
    <row r="19">
      <c r="B19" s="39"/>
      <c r="C19" s="2"/>
      <c r="D19" s="2"/>
      <c r="E19" s="2"/>
      <c r="F19" s="2"/>
      <c r="G19" s="40"/>
    </row>
    <row r="20" ht="15.0" customHeight="1">
      <c r="B20" s="86" t="s">
        <v>184</v>
      </c>
      <c r="C20" s="82">
        <f>'Balance Sheet'!G29+'Forecast Cash Flow'!C8+'Forecast Cash Flow'!C20+'Forecast Cash Flow'!C21</f>
        <v>43347.23594</v>
      </c>
      <c r="D20" s="82">
        <f>C20+'Forecast Cash Flow'!D8+'Forecast Cash Flow'!D20+'Forecast Cash Flow'!D21</f>
        <v>64396.38565</v>
      </c>
      <c r="E20" s="82">
        <f>D20+'Forecast Cash Flow'!E8+'Forecast Cash Flow'!E20+'Forecast Cash Flow'!E21</f>
        <v>89872.4315</v>
      </c>
      <c r="F20" s="82">
        <f>E20+'Forecast Cash Flow'!F8+'Forecast Cash Flow'!F20+'Forecast Cash Flow'!F21</f>
        <v>119550.8484</v>
      </c>
      <c r="G20" s="83">
        <f>F20+'Forecast Cash Flow'!G8+'Forecast Cash Flow'!G20+'Forecast Cash Flow'!G21</f>
        <v>152760.0722</v>
      </c>
    </row>
    <row r="21" ht="15.0" customHeight="1">
      <c r="B21" s="86" t="s">
        <v>199</v>
      </c>
      <c r="C21" s="82">
        <f>'Balance Sheet'!G8+'Forecast Cash Flow'!C24</f>
        <v>16623.0967</v>
      </c>
      <c r="D21" s="82">
        <f>C21+'Forecast Cash Flow'!D24</f>
        <v>34675.28337</v>
      </c>
      <c r="E21" s="82">
        <f>D21+'Forecast Cash Flow'!E24</f>
        <v>56108.19559</v>
      </c>
      <c r="F21" s="82">
        <f>E21+'Forecast Cash Flow'!F24</f>
        <v>84025.14072</v>
      </c>
      <c r="G21" s="83">
        <f>F21+'Forecast Cash Flow'!G24</f>
        <v>116666.4156</v>
      </c>
    </row>
    <row r="22" ht="15.75" customHeight="1">
      <c r="B22" s="39"/>
      <c r="C22" s="2"/>
      <c r="D22" s="2"/>
      <c r="E22" s="2"/>
      <c r="F22" s="2"/>
      <c r="G22" s="40"/>
    </row>
    <row r="23" ht="15.0" customHeight="1">
      <c r="B23" s="97" t="s">
        <v>211</v>
      </c>
      <c r="C23" s="100">
        <f t="shared" ref="C23:G23" si="2">C10+C11-C12</f>
        <v>28497.65345</v>
      </c>
      <c r="D23" s="100">
        <f t="shared" si="2"/>
        <v>33588.04238</v>
      </c>
      <c r="E23" s="100">
        <f t="shared" si="2"/>
        <v>38245.69321</v>
      </c>
      <c r="F23" s="100">
        <f t="shared" si="2"/>
        <v>42419.65989</v>
      </c>
      <c r="G23" s="103">
        <f t="shared" si="2"/>
        <v>46201.39433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7" width="13.0"/>
    <col customWidth="1" min="8" max="26" width="8.71"/>
  </cols>
  <sheetData>
    <row r="2" ht="19.5" customHeight="1">
      <c r="B2" s="1" t="s">
        <v>176</v>
      </c>
    </row>
    <row r="3" ht="15.0" customHeight="1">
      <c r="B3" s="4" t="s">
        <v>178</v>
      </c>
    </row>
    <row r="5" ht="15.0" customHeight="1">
      <c r="B5" s="35" t="s">
        <v>8</v>
      </c>
      <c r="C5" s="36" t="s">
        <v>123</v>
      </c>
      <c r="D5" s="36" t="s">
        <v>126</v>
      </c>
      <c r="E5" s="36" t="s">
        <v>128</v>
      </c>
      <c r="F5" s="36" t="s">
        <v>129</v>
      </c>
      <c r="G5" s="38" t="s">
        <v>131</v>
      </c>
    </row>
    <row r="6">
      <c r="B6" s="39"/>
      <c r="C6" s="2"/>
      <c r="D6" s="2"/>
      <c r="E6" s="2"/>
      <c r="F6" s="2"/>
      <c r="G6" s="40"/>
    </row>
    <row r="7" ht="15.0" customHeight="1">
      <c r="B7" s="84" t="s">
        <v>18</v>
      </c>
      <c r="C7" s="2"/>
      <c r="D7" s="2"/>
      <c r="E7" s="2"/>
      <c r="F7" s="2"/>
      <c r="G7" s="40"/>
    </row>
    <row r="8" ht="15.0" customHeight="1">
      <c r="B8" s="81" t="s">
        <v>24</v>
      </c>
      <c r="C8" s="82">
        <f>'Forecast Income Statement'!C17</f>
        <v>28800.31884</v>
      </c>
      <c r="D8" s="82">
        <f>'Forecast Income Statement'!D17</f>
        <v>34998.83522</v>
      </c>
      <c r="E8" s="82">
        <f>'Forecast Income Statement'!E17</f>
        <v>41633.39702</v>
      </c>
      <c r="F8" s="82">
        <f>'Forecast Income Statement'!F17</f>
        <v>48138.61531</v>
      </c>
      <c r="G8" s="83">
        <f>'Forecast Income Statement'!G17</f>
        <v>53870.31977</v>
      </c>
    </row>
    <row r="9" ht="15.0" customHeight="1">
      <c r="B9" s="81" t="s">
        <v>182</v>
      </c>
      <c r="C9" s="82">
        <f>'Forecast Balance Sheet'!C16</f>
        <v>2837.046333</v>
      </c>
      <c r="D9" s="82">
        <f>'Forecast Balance Sheet'!D16</f>
        <v>3652.05237</v>
      </c>
      <c r="E9" s="82">
        <f>'Forecast Balance Sheet'!E16</f>
        <v>4510.284678</v>
      </c>
      <c r="F9" s="82">
        <f>'Forecast Balance Sheet'!F16</f>
        <v>5263.155274</v>
      </c>
      <c r="G9" s="83">
        <f>'Forecast Balance Sheet'!G16</f>
        <v>6016.685065</v>
      </c>
    </row>
    <row r="10" ht="15.0" customHeight="1">
      <c r="B10" s="81" t="s">
        <v>186</v>
      </c>
      <c r="C10" s="82">
        <f>-('Forecast Balance Sheet'!C10-'Balance Sheet'!G9)</f>
        <v>-6460.710721</v>
      </c>
      <c r="D10" s="82">
        <f>-('Forecast Balance Sheet'!D10-C8)</f>
        <v>-2606.219815</v>
      </c>
      <c r="E10" s="82">
        <f>-('Forecast Balance Sheet'!E10-D8)</f>
        <v>-804.6188442</v>
      </c>
      <c r="F10" s="82">
        <f>-('Forecast Balance Sheet'!F10-E8)</f>
        <v>1891.563015</v>
      </c>
      <c r="G10" s="83">
        <f>-('Forecast Balance Sheet'!G10-F8)</f>
        <v>4820.01624</v>
      </c>
    </row>
    <row r="11" ht="15.0" customHeight="1">
      <c r="B11" s="81" t="s">
        <v>194</v>
      </c>
      <c r="C11" s="82">
        <f>-('Forecast Balance Sheet'!C11-'Balance Sheet'!G10)</f>
        <v>9819.949198</v>
      </c>
      <c r="D11" s="82">
        <f>-('Forecast Balance Sheet'!D11-C9)</f>
        <v>-1711.621026</v>
      </c>
      <c r="E11" s="82">
        <f>-('Forecast Balance Sheet'!E11-D9)</f>
        <v>-1440.276069</v>
      </c>
      <c r="F11" s="82">
        <f>-('Forecast Balance Sheet'!F11-E9)</f>
        <v>-1073.267152</v>
      </c>
      <c r="G11" s="83">
        <f>-('Forecast Balance Sheet'!G11-F9)</f>
        <v>-747.7795351</v>
      </c>
    </row>
    <row r="12" ht="15.0" customHeight="1">
      <c r="B12" s="81" t="s">
        <v>209</v>
      </c>
      <c r="C12" s="82">
        <f>'Forecast Balance Sheet'!C12-'Balance Sheet'!G20</f>
        <v>-3336.89193</v>
      </c>
      <c r="D12" s="82">
        <f>'Forecast Balance Sheet'!D12-C10</f>
        <v>8827.874346</v>
      </c>
      <c r="E12" s="82">
        <f>'Forecast Balance Sheet'!E12-D10</f>
        <v>5256.309105</v>
      </c>
      <c r="F12" s="82">
        <f>'Forecast Balance Sheet'!F12-E10</f>
        <v>3710.344796</v>
      </c>
      <c r="G12" s="83">
        <f>'Forecast Balance Sheet'!G12-F10</f>
        <v>1236.576528</v>
      </c>
    </row>
    <row r="13" ht="15.0" customHeight="1">
      <c r="B13" s="86" t="s">
        <v>45</v>
      </c>
      <c r="C13" s="104">
        <f t="shared" ref="C13:G13" si="1">C8+C9+C10+C11+C12</f>
        <v>31659.71172</v>
      </c>
      <c r="D13" s="104">
        <f t="shared" si="1"/>
        <v>43160.92109</v>
      </c>
      <c r="E13" s="104">
        <f t="shared" si="1"/>
        <v>49155.09589</v>
      </c>
      <c r="F13" s="104">
        <f t="shared" si="1"/>
        <v>57930.41124</v>
      </c>
      <c r="G13" s="106">
        <f t="shared" si="1"/>
        <v>65195.81807</v>
      </c>
    </row>
    <row r="14">
      <c r="B14" s="39"/>
      <c r="C14" s="2"/>
      <c r="D14" s="2"/>
      <c r="E14" s="2"/>
      <c r="F14" s="2"/>
      <c r="G14" s="40"/>
    </row>
    <row r="15" ht="15.0" customHeight="1">
      <c r="B15" s="84" t="s">
        <v>58</v>
      </c>
      <c r="C15" s="2"/>
      <c r="D15" s="2"/>
      <c r="E15" s="2"/>
      <c r="F15" s="2"/>
      <c r="G15" s="40"/>
    </row>
    <row r="16" ht="15.0" customHeight="1">
      <c r="B16" s="81" t="s">
        <v>59</v>
      </c>
      <c r="C16" s="82">
        <f>-'Forecast Balance Sheet'!C15</f>
        <v>-10316.53212</v>
      </c>
      <c r="D16" s="82">
        <f>-'Forecast Balance Sheet'!D15</f>
        <v>-11159.04891</v>
      </c>
      <c r="E16" s="82">
        <f>-'Forecast Balance Sheet'!E15</f>
        <v>-11564.83251</v>
      </c>
      <c r="F16" s="82">
        <f>-'Forecast Balance Sheet'!F15</f>
        <v>-11553.26767</v>
      </c>
      <c r="G16" s="83">
        <f>-'Forecast Balance Sheet'!G15</f>
        <v>-11893.44722</v>
      </c>
    </row>
    <row r="17" ht="15.0" customHeight="1">
      <c r="B17" s="86" t="s">
        <v>67</v>
      </c>
      <c r="C17" s="104">
        <f t="shared" ref="C17:G17" si="2">C16</f>
        <v>-10316.53212</v>
      </c>
      <c r="D17" s="104">
        <f t="shared" si="2"/>
        <v>-11159.04891</v>
      </c>
      <c r="E17" s="104">
        <f t="shared" si="2"/>
        <v>-11564.83251</v>
      </c>
      <c r="F17" s="104">
        <f t="shared" si="2"/>
        <v>-11553.26767</v>
      </c>
      <c r="G17" s="106">
        <f t="shared" si="2"/>
        <v>-11893.44722</v>
      </c>
    </row>
    <row r="18">
      <c r="B18" s="39"/>
      <c r="C18" s="2"/>
      <c r="D18" s="2"/>
      <c r="E18" s="2"/>
      <c r="F18" s="2"/>
      <c r="G18" s="40"/>
    </row>
    <row r="19" ht="15.0" customHeight="1">
      <c r="B19" s="84" t="s">
        <v>75</v>
      </c>
      <c r="C19" s="2"/>
      <c r="D19" s="2"/>
      <c r="E19" s="2"/>
      <c r="F19" s="2"/>
      <c r="G19" s="40"/>
    </row>
    <row r="20" ht="15.0" customHeight="1">
      <c r="B20" s="81" t="s">
        <v>227</v>
      </c>
      <c r="C20" s="82">
        <f>-C8*'Forecast Assumptions'!D32</f>
        <v>-7488.082897</v>
      </c>
      <c r="D20" s="82">
        <f>-D8*'Forecast Assumptions'!E32</f>
        <v>-9449.685509</v>
      </c>
      <c r="E20" s="82">
        <f>-E8*'Forecast Assumptions'!F32</f>
        <v>-11657.35117</v>
      </c>
      <c r="F20" s="82">
        <f>-F8*'Forecast Assumptions'!G32</f>
        <v>-13960.19844</v>
      </c>
      <c r="G20" s="83">
        <f>-G8*'Forecast Assumptions'!H32</f>
        <v>-16161.09593</v>
      </c>
    </row>
    <row r="21" ht="15.0" customHeight="1">
      <c r="B21" s="81" t="s">
        <v>229</v>
      </c>
      <c r="C21" s="82">
        <f>-'Forecast Assumptions'!D34</f>
        <v>-4500</v>
      </c>
      <c r="D21" s="82">
        <f>-'Forecast Assumptions'!E34</f>
        <v>-4500</v>
      </c>
      <c r="E21" s="82">
        <f>-'Forecast Assumptions'!F34</f>
        <v>-4500</v>
      </c>
      <c r="F21" s="82">
        <f>-'Forecast Assumptions'!G34</f>
        <v>-4500</v>
      </c>
      <c r="G21" s="83">
        <f>-'Forecast Assumptions'!H34</f>
        <v>-4500</v>
      </c>
    </row>
    <row r="22" ht="15.0" customHeight="1">
      <c r="B22" s="86" t="s">
        <v>86</v>
      </c>
      <c r="C22" s="104">
        <f t="shared" ref="C22:G22" si="3">C20+C21</f>
        <v>-11988.0829</v>
      </c>
      <c r="D22" s="104">
        <f t="shared" si="3"/>
        <v>-13949.68551</v>
      </c>
      <c r="E22" s="104">
        <f t="shared" si="3"/>
        <v>-16157.35117</v>
      </c>
      <c r="F22" s="104">
        <f t="shared" si="3"/>
        <v>-18460.19844</v>
      </c>
      <c r="G22" s="106">
        <f t="shared" si="3"/>
        <v>-20661.09593</v>
      </c>
    </row>
    <row r="23" ht="15.75" customHeight="1">
      <c r="B23" s="39"/>
      <c r="C23" s="2"/>
      <c r="D23" s="2"/>
      <c r="E23" s="2"/>
      <c r="F23" s="2"/>
      <c r="G23" s="40"/>
    </row>
    <row r="24" ht="15.0" customHeight="1">
      <c r="B24" s="86" t="s">
        <v>92</v>
      </c>
      <c r="C24" s="104">
        <f t="shared" ref="C24:G24" si="4">C13+C17+C22</f>
        <v>9355.096699</v>
      </c>
      <c r="D24" s="104">
        <f t="shared" si="4"/>
        <v>18052.18667</v>
      </c>
      <c r="E24" s="104">
        <f t="shared" si="4"/>
        <v>21432.91222</v>
      </c>
      <c r="F24" s="104">
        <f t="shared" si="4"/>
        <v>27916.94513</v>
      </c>
      <c r="G24" s="106">
        <f t="shared" si="4"/>
        <v>32641.27492</v>
      </c>
    </row>
    <row r="25" ht="15.75" customHeight="1">
      <c r="B25" s="39"/>
      <c r="C25" s="2"/>
      <c r="D25" s="2"/>
      <c r="E25" s="2"/>
      <c r="F25" s="2"/>
      <c r="G25" s="40"/>
    </row>
    <row r="26" ht="15.0" customHeight="1">
      <c r="B26" s="115" t="s">
        <v>96</v>
      </c>
      <c r="C26" s="119">
        <f t="shared" ref="C26:G26" si="5">C13+C16</f>
        <v>21343.1796</v>
      </c>
      <c r="D26" s="119">
        <f t="shared" si="5"/>
        <v>32001.87218</v>
      </c>
      <c r="E26" s="119">
        <f t="shared" si="5"/>
        <v>37590.26339</v>
      </c>
      <c r="F26" s="119">
        <f t="shared" si="5"/>
        <v>46377.14357</v>
      </c>
      <c r="G26" s="120">
        <f t="shared" si="5"/>
        <v>53302.37085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3.43"/>
    <col customWidth="1" min="3" max="5" width="20.0"/>
    <col customWidth="1" min="6" max="6" width="45.29"/>
    <col customWidth="1" min="7" max="7" width="9.43"/>
    <col customWidth="1" min="8" max="26" width="8.71"/>
  </cols>
  <sheetData>
    <row r="2">
      <c r="B2" s="1" t="s">
        <v>180</v>
      </c>
    </row>
    <row r="3" ht="27.75" customHeight="1">
      <c r="B3" s="85" t="s">
        <v>181</v>
      </c>
    </row>
    <row r="4">
      <c r="B4" s="3"/>
      <c r="C4" s="3"/>
      <c r="D4" s="3"/>
      <c r="E4" s="3"/>
      <c r="F4" s="3"/>
      <c r="G4" s="3"/>
    </row>
    <row r="5">
      <c r="B5" s="3" t="s">
        <v>183</v>
      </c>
      <c r="C5" s="3"/>
      <c r="D5" s="3"/>
      <c r="E5" s="3"/>
      <c r="F5" s="3"/>
      <c r="G5" s="3"/>
    </row>
    <row r="7" ht="30.0" customHeight="1">
      <c r="B7" s="35" t="s">
        <v>99</v>
      </c>
      <c r="C7" s="87" t="s">
        <v>185</v>
      </c>
      <c r="D7" s="87" t="s">
        <v>187</v>
      </c>
      <c r="E7" s="88" t="s">
        <v>188</v>
      </c>
    </row>
    <row r="8">
      <c r="B8" s="39"/>
      <c r="C8" s="2"/>
      <c r="D8" s="2"/>
      <c r="E8" s="40"/>
    </row>
    <row r="9">
      <c r="B9" s="81" t="s">
        <v>189</v>
      </c>
      <c r="C9" s="89">
        <v>80.0</v>
      </c>
      <c r="D9" s="89">
        <v>82.0</v>
      </c>
      <c r="E9" s="90">
        <v>85.0</v>
      </c>
    </row>
    <row r="10">
      <c r="B10" s="81" t="s">
        <v>191</v>
      </c>
      <c r="C10" s="89">
        <v>83.0</v>
      </c>
      <c r="D10" s="89">
        <v>85.0</v>
      </c>
      <c r="E10" s="90">
        <v>87.0</v>
      </c>
    </row>
    <row r="11">
      <c r="B11" s="86" t="s">
        <v>192</v>
      </c>
      <c r="C11" s="91">
        <f t="shared" ref="C11:E11" si="1">AVERAGE(C9:C10)</f>
        <v>81.5</v>
      </c>
      <c r="D11" s="91">
        <f t="shared" si="1"/>
        <v>83.5</v>
      </c>
      <c r="E11" s="92">
        <f t="shared" si="1"/>
        <v>86</v>
      </c>
    </row>
    <row r="12">
      <c r="B12" s="39"/>
      <c r="C12" s="2"/>
      <c r="D12" s="2"/>
      <c r="E12" s="40"/>
    </row>
    <row r="13">
      <c r="B13" s="81" t="s">
        <v>205</v>
      </c>
      <c r="C13" s="93">
        <v>33.5</v>
      </c>
      <c r="D13" s="93">
        <v>35.5</v>
      </c>
      <c r="E13" s="94">
        <v>35.5</v>
      </c>
    </row>
    <row r="14">
      <c r="B14" s="81" t="s">
        <v>207</v>
      </c>
      <c r="C14" s="93">
        <v>35.0</v>
      </c>
      <c r="D14" s="93">
        <v>37.0</v>
      </c>
      <c r="E14" s="94">
        <v>36.5</v>
      </c>
    </row>
    <row r="15">
      <c r="B15" s="86" t="s">
        <v>208</v>
      </c>
      <c r="C15" s="95">
        <f t="shared" ref="C15:E15" si="2">AVERAGE(C13:C14)</f>
        <v>34.25</v>
      </c>
      <c r="D15" s="95">
        <f t="shared" si="2"/>
        <v>36.25</v>
      </c>
      <c r="E15" s="96">
        <f t="shared" si="2"/>
        <v>36</v>
      </c>
    </row>
    <row r="16">
      <c r="B16" s="39"/>
      <c r="C16" s="2"/>
      <c r="D16" s="2"/>
      <c r="E16" s="40"/>
    </row>
    <row r="17">
      <c r="B17" s="98" t="s">
        <v>212</v>
      </c>
      <c r="C17" s="99"/>
      <c r="D17" s="99"/>
      <c r="E17" s="101"/>
    </row>
    <row r="18">
      <c r="B18" s="81" t="s">
        <v>213</v>
      </c>
      <c r="C18" s="102">
        <f>E11-C11</f>
        <v>4.5</v>
      </c>
      <c r="D18" s="2"/>
      <c r="E18" s="40"/>
      <c r="F18" s="85" t="s">
        <v>214</v>
      </c>
    </row>
    <row r="19">
      <c r="B19" s="81" t="s">
        <v>215</v>
      </c>
      <c r="C19" s="105">
        <f>E11/C11-1</f>
        <v>0.05521472393</v>
      </c>
      <c r="D19" s="2"/>
      <c r="E19" s="40"/>
    </row>
    <row r="20">
      <c r="B20" s="39"/>
      <c r="C20" s="2"/>
      <c r="D20" s="2"/>
      <c r="E20" s="40"/>
    </row>
    <row r="21" ht="15.75" customHeight="1">
      <c r="B21" s="81" t="s">
        <v>216</v>
      </c>
      <c r="C21" s="107">
        <f>E15-C15</f>
        <v>1.75</v>
      </c>
      <c r="D21" s="2"/>
      <c r="E21" s="40"/>
    </row>
    <row r="22" ht="15.75" customHeight="1">
      <c r="B22" s="81" t="s">
        <v>217</v>
      </c>
      <c r="C22" s="105">
        <f>E15/C15-1</f>
        <v>0.05109489051</v>
      </c>
      <c r="D22" s="2"/>
      <c r="E22" s="40"/>
    </row>
    <row r="23" ht="15.75" customHeight="1">
      <c r="B23" s="39"/>
      <c r="C23" s="2"/>
      <c r="D23" s="2"/>
      <c r="E23" s="40"/>
    </row>
    <row r="24" ht="15.75" customHeight="1">
      <c r="B24" s="98" t="s">
        <v>218</v>
      </c>
      <c r="C24" s="108"/>
      <c r="D24" s="108"/>
      <c r="E24" s="109"/>
    </row>
    <row r="25" ht="15.75" customHeight="1">
      <c r="B25" s="110" t="s">
        <v>99</v>
      </c>
      <c r="C25" s="112" t="s">
        <v>219</v>
      </c>
      <c r="D25" s="112" t="s">
        <v>220</v>
      </c>
      <c r="E25" s="113" t="s">
        <v>221</v>
      </c>
    </row>
    <row r="26" ht="15.75" customHeight="1">
      <c r="B26" s="81" t="s">
        <v>222</v>
      </c>
      <c r="C26" s="89">
        <v>19.8</v>
      </c>
      <c r="D26" s="89">
        <v>23.0</v>
      </c>
      <c r="E26" s="92">
        <f>C26+D26</f>
        <v>42.8</v>
      </c>
    </row>
    <row r="27" ht="15.75" customHeight="1">
      <c r="B27" s="81" t="s">
        <v>223</v>
      </c>
      <c r="C27" s="114">
        <v>0.56</v>
      </c>
      <c r="D27" s="114">
        <v>0.48</v>
      </c>
      <c r="E27" s="40"/>
    </row>
    <row r="28" ht="15.75" customHeight="1">
      <c r="B28" s="81" t="s">
        <v>224</v>
      </c>
      <c r="C28" s="93">
        <v>8.26</v>
      </c>
      <c r="D28" s="93">
        <v>7.94</v>
      </c>
      <c r="E28" s="40"/>
    </row>
    <row r="29" ht="15.75" customHeight="1">
      <c r="B29" s="81" t="s">
        <v>225</v>
      </c>
      <c r="C29" s="93">
        <v>8.55</v>
      </c>
      <c r="D29" s="93">
        <v>8.38</v>
      </c>
      <c r="E29" s="40"/>
    </row>
    <row r="30" ht="15.75" customHeight="1">
      <c r="B30" s="39"/>
      <c r="C30" s="2"/>
      <c r="D30" s="2"/>
      <c r="E30" s="40"/>
    </row>
    <row r="31" ht="15.75" customHeight="1">
      <c r="B31" s="115" t="s">
        <v>226</v>
      </c>
      <c r="C31" s="116">
        <f>E11-E26</f>
        <v>43.2</v>
      </c>
      <c r="D31" s="117"/>
      <c r="E31" s="118"/>
    </row>
    <row r="32" ht="15.75" customHeight="1"/>
    <row r="33" ht="15.75" customHeight="1">
      <c r="B33" s="3" t="s">
        <v>228</v>
      </c>
      <c r="C33" s="29"/>
      <c r="D33" s="29"/>
      <c r="E33" s="29"/>
    </row>
    <row r="34" ht="15.75" customHeight="1">
      <c r="B34" s="2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G3"/>
    <mergeCell ref="B34:E34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0.57"/>
    <col customWidth="1" min="3" max="26" width="8.71"/>
  </cols>
  <sheetData>
    <row r="2">
      <c r="B2" s="1" t="s">
        <v>190</v>
      </c>
    </row>
    <row r="3">
      <c r="B3" s="3" t="s">
        <v>193</v>
      </c>
    </row>
    <row r="5">
      <c r="B5" s="35" t="s">
        <v>99</v>
      </c>
      <c r="C5" s="36" t="s">
        <v>195</v>
      </c>
      <c r="D5" s="36" t="s">
        <v>196</v>
      </c>
      <c r="E5" s="36" t="s">
        <v>197</v>
      </c>
      <c r="F5" s="36" t="s">
        <v>198</v>
      </c>
      <c r="G5" s="36" t="s">
        <v>200</v>
      </c>
      <c r="H5" s="36" t="s">
        <v>201</v>
      </c>
      <c r="I5" s="36" t="s">
        <v>202</v>
      </c>
      <c r="J5" s="36" t="s">
        <v>203</v>
      </c>
      <c r="K5" s="36" t="s">
        <v>204</v>
      </c>
      <c r="L5" s="38" t="s">
        <v>206</v>
      </c>
      <c r="M5" s="2"/>
    </row>
    <row r="6">
      <c r="B6" s="47"/>
      <c r="C6" s="3"/>
      <c r="D6" s="3"/>
      <c r="E6" s="3"/>
      <c r="F6" s="3"/>
      <c r="G6" s="3"/>
      <c r="H6" s="3"/>
      <c r="I6" s="3"/>
      <c r="J6" s="3"/>
      <c r="K6" s="3"/>
      <c r="L6" s="54"/>
      <c r="M6" s="2"/>
    </row>
    <row r="7">
      <c r="B7" s="47" t="s">
        <v>210</v>
      </c>
      <c r="C7" s="68">
        <f>'Income Statement'!C7</f>
        <v>28318</v>
      </c>
      <c r="D7" s="68">
        <f>'Income Statement'!D7</f>
        <v>28541</v>
      </c>
      <c r="E7" s="68">
        <f>'Income Statement'!E7</f>
        <v>34124</v>
      </c>
      <c r="F7" s="68">
        <f>'Income Statement'!F7</f>
        <v>45043</v>
      </c>
      <c r="G7" s="68">
        <f>'Income Statement'!G7</f>
        <v>65179</v>
      </c>
      <c r="H7" s="68">
        <f>'Forecast Income Statement'!C7</f>
        <v>85971.101</v>
      </c>
      <c r="I7" s="68">
        <f>'Forecast Income Statement'!D7</f>
        <v>101445.8992</v>
      </c>
      <c r="J7" s="68">
        <f>'Forecast Income Statement'!E7</f>
        <v>115648.3251</v>
      </c>
      <c r="K7" s="68">
        <f>'Forecast Income Statement'!F7</f>
        <v>128369.6408</v>
      </c>
      <c r="L7" s="70">
        <f>'Forecast Income Statement'!G7</f>
        <v>139922.9085</v>
      </c>
      <c r="M7" s="2"/>
    </row>
    <row r="8">
      <c r="B8" s="47" t="s">
        <v>28</v>
      </c>
      <c r="C8" s="111" t="str">
        <f>'Income Statement'!C8</f>
        <v>n/a</v>
      </c>
      <c r="D8" s="51">
        <f>'Income Statement'!D8</f>
        <v>0.007874849919</v>
      </c>
      <c r="E8" s="51">
        <f>'Income Statement'!E8</f>
        <v>0.1956133282</v>
      </c>
      <c r="F8" s="51">
        <f>'Income Statement'!F8</f>
        <v>0.3199800727</v>
      </c>
      <c r="G8" s="51">
        <f>'Income Statement'!G8</f>
        <v>0.4470394956</v>
      </c>
      <c r="H8" s="51">
        <f>'Forecast Income Statement'!C8</f>
        <v>0.319</v>
      </c>
      <c r="I8" s="51">
        <f>'Forecast Income Statement'!D8</f>
        <v>0.18</v>
      </c>
      <c r="J8" s="51">
        <f>'Forecast Income Statement'!E8</f>
        <v>0.14</v>
      </c>
      <c r="K8" s="51">
        <f>'Forecast Income Statement'!F8</f>
        <v>0.11</v>
      </c>
      <c r="L8" s="52">
        <f>'Forecast Income Statement'!G8</f>
        <v>0.09</v>
      </c>
      <c r="M8" s="2"/>
    </row>
    <row r="9">
      <c r="B9" s="47" t="s">
        <v>56</v>
      </c>
      <c r="C9" s="51">
        <f>'Income Statement'!C11</f>
        <v>0.7417896744</v>
      </c>
      <c r="D9" s="51">
        <f>'Income Statement'!D11</f>
        <v>0.7677376406</v>
      </c>
      <c r="E9" s="51">
        <f>'Income Statement'!E11</f>
        <v>0.7924627828</v>
      </c>
      <c r="F9" s="51">
        <f>'Income Statement'!F11</f>
        <v>0.8131119153</v>
      </c>
      <c r="G9" s="51">
        <f>'Income Statement'!G11</f>
        <v>0.8304361834</v>
      </c>
      <c r="H9" s="51">
        <f>'Forecast Income Statement'!C11</f>
        <v>0.83</v>
      </c>
      <c r="I9" s="51">
        <f>'Forecast Income Statement'!D11</f>
        <v>0.833</v>
      </c>
      <c r="J9" s="51">
        <f>'Forecast Income Statement'!E11</f>
        <v>0.836</v>
      </c>
      <c r="K9" s="51">
        <f>'Forecast Income Statement'!F11</f>
        <v>0.838</v>
      </c>
      <c r="L9" s="52">
        <f>'Forecast Income Statement'!G11</f>
        <v>0.84</v>
      </c>
      <c r="M9" s="2"/>
    </row>
    <row r="10">
      <c r="B10" s="47" t="s">
        <v>72</v>
      </c>
      <c r="C10" s="51">
        <f>'Income Statement'!C15</f>
        <v>0.2244861925</v>
      </c>
      <c r="D10" s="51">
        <f>'Income Statement'!D15</f>
        <v>0.2497109422</v>
      </c>
      <c r="E10" s="51">
        <f>'Income Statement'!E15</f>
        <v>0.1892216622</v>
      </c>
      <c r="F10" s="51">
        <f>'Income Statement'!F15</f>
        <v>0.2863708012</v>
      </c>
      <c r="G10" s="51">
        <f>'Income Statement'!G15</f>
        <v>0.4035348809</v>
      </c>
      <c r="H10" s="51">
        <f>'Forecast Income Statement'!C15</f>
        <v>0.42</v>
      </c>
      <c r="I10" s="51">
        <f>'Forecast Income Statement'!D15</f>
        <v>0.43</v>
      </c>
      <c r="J10" s="51">
        <f>'Forecast Income Statement'!E15</f>
        <v>0.44</v>
      </c>
      <c r="K10" s="51">
        <f>'Forecast Income Statement'!F15</f>
        <v>0.45</v>
      </c>
      <c r="L10" s="52">
        <f>'Forecast Income Statement'!G15</f>
        <v>0.46</v>
      </c>
      <c r="M10" s="2"/>
    </row>
    <row r="11">
      <c r="B11" s="47" t="s">
        <v>76</v>
      </c>
      <c r="C11" s="51">
        <f>'Income Statement'!C18</f>
        <v>0.1971184406</v>
      </c>
      <c r="D11" s="51">
        <f>'Income Statement'!D18</f>
        <v>0.2188080306</v>
      </c>
      <c r="E11" s="51">
        <f>'Income Statement'!E18</f>
        <v>0.1535576134</v>
      </c>
      <c r="F11" s="51">
        <f>'Income Statement'!F18</f>
        <v>0.2351086739</v>
      </c>
      <c r="G11" s="51">
        <f>'Income Statement'!G18</f>
        <v>0.316666411</v>
      </c>
      <c r="H11" s="51">
        <f>'Forecast Income Statement'!C18</f>
        <v>0.335</v>
      </c>
      <c r="I11" s="51">
        <f>'Forecast Income Statement'!D18</f>
        <v>0.345</v>
      </c>
      <c r="J11" s="51">
        <f>'Forecast Income Statement'!E18</f>
        <v>0.36</v>
      </c>
      <c r="K11" s="51">
        <f>'Forecast Income Statement'!F18</f>
        <v>0.375</v>
      </c>
      <c r="L11" s="52">
        <f>'Forecast Income Statement'!G18</f>
        <v>0.385</v>
      </c>
      <c r="M11" s="2"/>
    </row>
    <row r="12">
      <c r="B12" s="47" t="s">
        <v>84</v>
      </c>
      <c r="C12" s="123">
        <f>'Income Statement'!C20</f>
        <v>6.12</v>
      </c>
      <c r="D12" s="123">
        <f>'Income Statement'!D20</f>
        <v>6.9</v>
      </c>
      <c r="E12" s="123">
        <f>'Income Statement'!E20</f>
        <v>5.8</v>
      </c>
      <c r="F12" s="123">
        <f>'Income Statement'!F20</f>
        <v>11.71</v>
      </c>
      <c r="G12" s="123">
        <f>'Income Statement'!G20</f>
        <v>22.95</v>
      </c>
      <c r="H12" s="123">
        <f>'Forecast Income Statement'!C21</f>
        <v>32.34708114</v>
      </c>
      <c r="I12" s="123">
        <f>'Forecast Income Statement'!D21</f>
        <v>39.70600553</v>
      </c>
      <c r="J12" s="123">
        <f>'Forecast Income Statement'!E21</f>
        <v>47.70998293</v>
      </c>
      <c r="K12" s="123">
        <f>'Forecast Income Statement'!F21</f>
        <v>55.72188663</v>
      </c>
      <c r="L12" s="128">
        <f>'Forecast Income Statement'!G21</f>
        <v>62.98636962</v>
      </c>
      <c r="M12" s="2"/>
    </row>
    <row r="13">
      <c r="B13" s="71" t="s">
        <v>243</v>
      </c>
      <c r="C13" s="130">
        <v>0.004</v>
      </c>
      <c r="D13" s="130">
        <v>0.022</v>
      </c>
      <c r="E13" s="131">
        <v>0.171</v>
      </c>
      <c r="F13" s="131">
        <v>0.257</v>
      </c>
      <c r="G13" s="131">
        <v>0.352</v>
      </c>
      <c r="H13" s="73">
        <v>0.6</v>
      </c>
      <c r="I13" s="73">
        <v>0.63</v>
      </c>
      <c r="J13" s="73">
        <v>0.65</v>
      </c>
      <c r="K13" s="73">
        <v>0.67</v>
      </c>
      <c r="L13" s="74">
        <v>0.68</v>
      </c>
      <c r="M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6">
      <c r="B16" s="29"/>
    </row>
    <row r="17">
      <c r="B17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6.29"/>
    <col customWidth="1" min="3" max="5" width="16.0"/>
    <col customWidth="1" min="6" max="6" width="59.0"/>
    <col customWidth="1" min="7" max="7" width="10.14"/>
    <col customWidth="1" min="8" max="26" width="8.71"/>
  </cols>
  <sheetData>
    <row r="2">
      <c r="B2" s="1" t="s">
        <v>230</v>
      </c>
    </row>
    <row r="3" ht="30.75" customHeight="1">
      <c r="B3" s="85" t="s">
        <v>231</v>
      </c>
    </row>
    <row r="5">
      <c r="B5" s="35" t="s">
        <v>124</v>
      </c>
      <c r="C5" s="36" t="s">
        <v>232</v>
      </c>
      <c r="D5" s="36" t="s">
        <v>233</v>
      </c>
      <c r="E5" s="38" t="s">
        <v>234</v>
      </c>
    </row>
    <row r="6">
      <c r="B6" s="81" t="s">
        <v>235</v>
      </c>
      <c r="C6" s="114">
        <v>0.1</v>
      </c>
      <c r="D6" s="114">
        <v>0.164</v>
      </c>
      <c r="E6" s="121">
        <v>0.22</v>
      </c>
      <c r="F6" s="122" t="s">
        <v>236</v>
      </c>
      <c r="G6" s="122"/>
    </row>
    <row r="7" ht="63.75" customHeight="1">
      <c r="B7" s="81" t="s">
        <v>237</v>
      </c>
      <c r="C7" s="114">
        <v>0.4</v>
      </c>
      <c r="D7" s="114">
        <v>0.46</v>
      </c>
      <c r="E7" s="121">
        <v>0.5</v>
      </c>
      <c r="F7" s="85" t="s">
        <v>238</v>
      </c>
      <c r="G7" s="85"/>
    </row>
    <row r="8">
      <c r="B8" s="81" t="s">
        <v>239</v>
      </c>
      <c r="C8" s="114">
        <v>0.32</v>
      </c>
      <c r="D8" s="114">
        <v>0.385</v>
      </c>
      <c r="E8" s="121">
        <v>0.42</v>
      </c>
    </row>
    <row r="9">
      <c r="B9" s="39"/>
      <c r="C9" s="2"/>
      <c r="D9" s="2"/>
      <c r="E9" s="40"/>
    </row>
    <row r="10">
      <c r="B10" s="124" t="s">
        <v>240</v>
      </c>
      <c r="C10" s="125"/>
      <c r="D10" s="125"/>
      <c r="E10" s="126"/>
    </row>
    <row r="11">
      <c r="B11" s="86" t="s">
        <v>241</v>
      </c>
      <c r="C11" s="104">
        <f>'Income Statement'!G7*(1+C6)^5</f>
        <v>104971.4313</v>
      </c>
      <c r="D11" s="104">
        <f>'Income Statement'!G7*(1+D6)^5</f>
        <v>139274.8164</v>
      </c>
      <c r="E11" s="106">
        <f>'Income Statement'!G7*(1+E6)^5</f>
        <v>176159.8154</v>
      </c>
    </row>
    <row r="12">
      <c r="B12" s="81" t="s">
        <v>242</v>
      </c>
      <c r="C12" s="127">
        <f t="shared" ref="C12:E12" si="1">C11*C7</f>
        <v>41988.57252</v>
      </c>
      <c r="D12" s="127">
        <f t="shared" si="1"/>
        <v>64066.41555</v>
      </c>
      <c r="E12" s="129">
        <f t="shared" si="1"/>
        <v>88079.90768</v>
      </c>
    </row>
    <row r="13">
      <c r="B13" s="86" t="s">
        <v>244</v>
      </c>
      <c r="C13" s="104">
        <f t="shared" ref="C13:E13" si="2">C11*C8</f>
        <v>33590.85801</v>
      </c>
      <c r="D13" s="104">
        <f t="shared" si="2"/>
        <v>53620.80432</v>
      </c>
      <c r="E13" s="106">
        <f t="shared" si="2"/>
        <v>73987.12246</v>
      </c>
    </row>
    <row r="14">
      <c r="B14" s="86" t="s">
        <v>245</v>
      </c>
      <c r="C14" s="95">
        <f t="shared" ref="C14:E14" si="3">C13/855</f>
        <v>39.28755323</v>
      </c>
      <c r="D14" s="95">
        <f t="shared" si="3"/>
        <v>62.71439101</v>
      </c>
      <c r="E14" s="96">
        <f t="shared" si="3"/>
        <v>86.53464615</v>
      </c>
    </row>
    <row r="15">
      <c r="B15" s="39"/>
      <c r="C15" s="2"/>
      <c r="D15" s="2"/>
      <c r="E15" s="40"/>
    </row>
    <row r="16">
      <c r="B16" s="97" t="s">
        <v>246</v>
      </c>
      <c r="C16" s="132">
        <f>C11/D11-1</f>
        <v>-0.2462999845</v>
      </c>
      <c r="D16" s="117"/>
      <c r="E16" s="133">
        <f>E11/D11-1</f>
        <v>0.2648360982</v>
      </c>
    </row>
    <row r="17">
      <c r="B17" s="2"/>
      <c r="C17" s="2"/>
      <c r="D17" s="2"/>
      <c r="E17" s="2"/>
    </row>
    <row r="18">
      <c r="B18" s="134" t="s">
        <v>247</v>
      </c>
      <c r="C18" s="80"/>
      <c r="D18" s="80"/>
      <c r="E18" s="80"/>
      <c r="F18" s="80"/>
      <c r="G18" s="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E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2026-08-13T20:12:34Z</dcterms:created>
  <dc:creator>openpyxl</dc:creator>
</cp:coreProperties>
</file>